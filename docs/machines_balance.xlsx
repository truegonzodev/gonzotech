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Машины и логистика (0.3.64)" sheetId="1" state="visible" r:id="rId1"/>
    <sheet name="0.3.64 было→стало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C9E0F7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E1F2"/>
      </patternFill>
    </fill>
    <fill>
      <patternFill patternType="solid">
        <fgColor rgb="00D0CECE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2" fillId="4" borderId="0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7" borderId="0" applyAlignment="1" pivotButton="0" quotePrefix="0" xfId="0">
      <alignment vertical="center"/>
    </xf>
    <xf numFmtId="0" fontId="2" fillId="8" borderId="0" applyAlignment="1" pivotButton="0" quotePrefix="0" xfId="0">
      <alignment vertical="center"/>
    </xf>
    <xf numFmtId="0" fontId="2" fillId="9" borderId="0" applyAlignment="1" pivotButton="0" quotePrefix="0" xfId="0">
      <alignment vertical="center"/>
    </xf>
    <xf numFmtId="0" fontId="2" fillId="10" borderId="0" applyAlignment="1" pivotButton="0" quotePrefix="0" xfId="0">
      <alignment vertical="center"/>
    </xf>
    <xf numFmtId="0" fontId="2" fillId="11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3" customWidth="1" min="6" max="6"/>
    <col width="11" customWidth="1" min="7" max="7"/>
    <col width="13" customWidth="1" min="8" max="8"/>
    <col width="15" customWidth="1" min="9" max="9"/>
    <col width="13" customWidth="1" min="10" max="10"/>
    <col width="40" customWidth="1" min="11" max="11"/>
    <col width="22" customWidth="1" min="12" max="12"/>
    <col width="26" customWidth="1" min="13" max="13"/>
    <col width="30" customWidth="1" min="14" max="14"/>
    <col width="44" customWidth="1" min="15" max="15"/>
  </cols>
  <sheetData>
    <row r="1">
      <c r="A1" s="1" t="inlineStr">
        <is>
          <t>Название</t>
        </is>
      </c>
      <c r="B1" s="1" t="inlineStr">
        <is>
          <t>GTU (электричество)</t>
        </is>
      </c>
      <c r="E1" s="1" t="inlineStr">
        <is>
          <t>GTH (тепло)</t>
        </is>
      </c>
      <c r="H1" s="1" t="inlineStr">
        <is>
          <t>Жидкости (mB)</t>
        </is>
      </c>
      <c r="K1" s="1" t="inlineStr">
        <is>
          <t>Операция (описание, тики)</t>
        </is>
      </c>
      <c r="L1" s="1" t="inlineStr">
        <is>
          <t>Расход в тик</t>
        </is>
      </c>
      <c r="M1" s="1" t="inlineStr">
        <is>
          <t>Расход на операцию</t>
        </is>
      </c>
      <c r="N1" s="1" t="inlineStr">
        <is>
          <t>КПД (условный)</t>
        </is>
      </c>
      <c r="O1" s="1" t="inlineStr">
        <is>
          <t>Заметки</t>
        </is>
      </c>
    </row>
    <row r="2" ht="24" customHeight="1">
      <c r="B2" s="2" t="inlineStr">
        <is>
          <t>приём GTU/t</t>
        </is>
      </c>
      <c r="C2" s="2" t="inlineStr">
        <is>
          <t>стор GTU</t>
        </is>
      </c>
      <c r="D2" s="2" t="inlineStr">
        <is>
          <t>отдача GTU/t</t>
        </is>
      </c>
      <c r="E2" s="2" t="inlineStr">
        <is>
          <t>приём GTH/t</t>
        </is>
      </c>
      <c r="F2" s="2" t="inlineStr">
        <is>
          <t>стор GTH</t>
        </is>
      </c>
      <c r="G2" s="2" t="inlineStr">
        <is>
          <t>отдача GTH/t</t>
        </is>
      </c>
      <c r="H2" s="2" t="inlineStr">
        <is>
          <t>приём mB/t</t>
        </is>
      </c>
      <c r="I2" s="2" t="inlineStr">
        <is>
          <t>стор mB</t>
        </is>
      </c>
      <c r="J2" s="2" t="inlineStr">
        <is>
          <t>отдача mB/t</t>
        </is>
      </c>
    </row>
    <row r="3" ht="18" customHeight="1">
      <c r="A3" s="3" t="inlineStr">
        <is>
          <t>ТИР 1 — ПАРОВАЯ ЦЕПОЧКА</t>
        </is>
      </c>
    </row>
    <row r="4">
      <c r="A4" s="4" t="inlineStr">
        <is>
          <t>Топка (Firebox)</t>
        </is>
      </c>
      <c r="B4" s="5" t="inlineStr">
        <is>
          <t>−</t>
        </is>
      </c>
      <c r="C4" s="5" t="inlineStr">
        <is>
          <t>−</t>
        </is>
      </c>
      <c r="D4" s="5" t="inlineStr">
        <is>
          <t>−</t>
        </is>
      </c>
      <c r="E4" s="5" t="inlineStr">
        <is>
          <t>−</t>
        </is>
      </c>
      <c r="F4" s="5" t="inlineStr">
        <is>
          <t>16 004</t>
        </is>
      </c>
      <c r="G4" s="5" t="inlineStr">
        <is>
          <t>80</t>
        </is>
      </c>
      <c r="H4" s="5" t="inlineStr">
        <is>
          <t>−</t>
        </is>
      </c>
      <c r="I4" s="5" t="inlineStr">
        <is>
          <t>−</t>
        </is>
      </c>
      <c r="J4" s="5" t="inlineStr">
        <is>
          <t>−</t>
        </is>
      </c>
      <c r="K4" s="5" t="inlineStr">
        <is>
          <t>Переплавка: 200 т база, скорость 80…120% ванили по запасу GTH</t>
        </is>
      </c>
      <c r="L4" s="5" t="inlineStr">
        <is>
          <t>− (топливо по ванильному времени)</t>
        </is>
      </c>
      <c r="M4" s="5" t="inlineStr">
        <is>
          <t>−</t>
        </is>
      </c>
      <c r="N4" s="5" t="inlineStr">
        <is>
          <t>9 GTH/t горения</t>
        </is>
      </c>
      <c r="O4" s="5" t="inlineStr">
        <is>
          <t>Паразит −1 GTH/t. Одна топка кормит котёл (58 GTH/t приёма) на ~15% времени — GTH дорог после ребаланса</t>
        </is>
      </c>
    </row>
    <row r="5">
      <c r="A5" s="4" t="inlineStr">
        <is>
          <t>Котёл (Boiler)</t>
        </is>
      </c>
      <c r="B5" s="5" t="inlineStr">
        <is>
          <t>−</t>
        </is>
      </c>
      <c r="C5" s="5" t="inlineStr">
        <is>
          <t>−</t>
        </is>
      </c>
      <c r="D5" s="5" t="inlineStr">
        <is>
          <t>−</t>
        </is>
      </c>
      <c r="E5" s="5" t="inlineStr">
        <is>
          <t>58</t>
        </is>
      </c>
      <c r="F5" s="5" t="inlineStr">
        <is>
          <t>16 004</t>
        </is>
      </c>
      <c r="G5" s="5" t="inlineStr">
        <is>
          <t>−</t>
        </is>
      </c>
      <c r="H5" s="5" t="inlineStr">
        <is>
          <t>вода 82</t>
        </is>
      </c>
      <c r="I5" s="5" t="inlineStr">
        <is>
          <t>вода 8 000; пар 8 000</t>
        </is>
      </c>
      <c r="J5" s="5" t="inlineStr">
        <is>
          <t>пар 82</t>
        </is>
      </c>
      <c r="K5" s="5" t="inlineStr">
        <is>
          <t>Вода→пар, непрерывно 20 mB/т</t>
        </is>
      </c>
      <c r="L5" s="5" t="inlineStr">
        <is>
          <t>22 GTH/т + 20 mB воды</t>
        </is>
      </c>
      <c r="M5" s="5" t="inlineStr">
        <is>
          <t>440 GTH + 400 mB воды на 200 mB пара</t>
        </is>
      </c>
      <c r="N5" s="5" t="inlineStr">
        <is>
          <t>1.1 GTH / 1 mB пара</t>
        </is>
      </c>
      <c r="O5" s="5" t="inlineStr">
        <is>
          <t>Потери: 1 GTH/т + 1 mB пара/т. Только при примыкании топки</t>
        </is>
      </c>
    </row>
    <row r="6">
      <c r="A6" s="4" t="inlineStr">
        <is>
          <t>Конденсатор</t>
        </is>
      </c>
      <c r="B6" s="5" t="inlineStr">
        <is>
          <t>−</t>
        </is>
      </c>
      <c r="C6" s="5" t="inlineStr">
        <is>
          <t>−</t>
        </is>
      </c>
      <c r="D6" s="5" t="inlineStr">
        <is>
          <t>−</t>
        </is>
      </c>
      <c r="E6" s="5" t="inlineStr">
        <is>
          <t>−</t>
        </is>
      </c>
      <c r="F6" s="5" t="inlineStr">
        <is>
          <t>−</t>
        </is>
      </c>
      <c r="G6" s="5" t="inlineStr">
        <is>
          <t>−</t>
        </is>
      </c>
      <c r="H6" s="5" t="inlineStr">
        <is>
          <t>−</t>
        </is>
      </c>
      <c r="I6" s="5" t="inlineStr">
        <is>
          <t>−</t>
        </is>
      </c>
      <c r="J6" s="5" t="inlineStr">
        <is>
          <t>−</t>
        </is>
      </c>
      <c r="K6" s="5" t="inlineStr">
        <is>
          <t>Пассивный блок</t>
        </is>
      </c>
      <c r="L6" s="5" t="inlineStr">
        <is>
          <t>−</t>
        </is>
      </c>
      <c r="M6" s="5" t="inlineStr">
        <is>
          <t>−</t>
        </is>
      </c>
      <c r="N6" s="5" t="inlineStr">
        <is>
          <t>−</t>
        </is>
      </c>
      <c r="O6" s="5" t="inlineStr">
        <is>
          <t>+5 mB/т возврата воды стирлингу (6+5n)</t>
        </is>
      </c>
    </row>
    <row r="7">
      <c r="A7" s="4" t="inlineStr">
        <is>
          <t>Генератор Стирлинга</t>
        </is>
      </c>
      <c r="B7" s="5" t="inlineStr">
        <is>
          <t>−</t>
        </is>
      </c>
      <c r="C7" s="5" t="inlineStr">
        <is>
          <t>122</t>
        </is>
      </c>
      <c r="D7" s="5" t="inlineStr">
        <is>
          <t>32</t>
        </is>
      </c>
      <c r="E7" s="5" t="inlineStr">
        <is>
          <t>−</t>
        </is>
      </c>
      <c r="F7" s="5" t="inlineStr">
        <is>
          <t>−</t>
        </is>
      </c>
      <c r="G7" s="5" t="inlineStr">
        <is>
          <t>−</t>
        </is>
      </c>
      <c r="H7" s="5" t="inlineStr">
        <is>
          <t>пар 40 (расход)</t>
        </is>
      </c>
      <c r="I7" s="5" t="inlineStr">
        <is>
          <t>пар 6 000; конденсат 2 000</t>
        </is>
      </c>
      <c r="J7" s="5" t="inlineStr">
        <is>
          <t>конденсат 6–16 в котёл</t>
        </is>
      </c>
      <c r="K7" s="5" t="inlineStr">
        <is>
          <t>Пар→GTU непрерывно</t>
        </is>
      </c>
      <c r="L7" s="5" t="inlineStr">
        <is>
          <t>40 mB пара/т</t>
        </is>
      </c>
      <c r="M7" s="5" t="inlineStr">
        <is>
          <t>40 mB → 2 GTU</t>
        </is>
      </c>
      <c r="N7" s="5" t="inlineStr">
        <is>
          <t>0.05 GTU/mB; 100→90% по конденсату</t>
        </is>
      </c>
      <c r="O7" s="5" t="inlineStr">
        <is>
          <t>ОТДАЧА 32 GTU/т — потолок выдачи; без конденсаторов 85% пара в никуда</t>
        </is>
      </c>
    </row>
    <row r="8">
      <c r="A8" s="4" t="inlineStr">
        <is>
          <t>Электропечь</t>
        </is>
      </c>
      <c r="B8" s="5" t="inlineStr">
        <is>
          <t>24</t>
        </is>
      </c>
      <c r="C8" s="5" t="inlineStr">
        <is>
          <t>3 648</t>
        </is>
      </c>
      <c r="D8" s="5" t="inlineStr">
        <is>
          <t>−</t>
        </is>
      </c>
      <c r="E8" s="5" t="inlineStr">
        <is>
          <t>−</t>
        </is>
      </c>
      <c r="F8" s="5" t="inlineStr">
        <is>
          <t>−</t>
        </is>
      </c>
      <c r="G8" s="5" t="inlineStr">
        <is>
          <t>−</t>
        </is>
      </c>
      <c r="H8" s="5" t="inlineStr">
        <is>
          <t>−</t>
        </is>
      </c>
      <c r="I8" s="5" t="inlineStr">
        <is>
          <t>−</t>
        </is>
      </c>
      <c r="J8" s="5" t="inlineStr">
        <is>
          <t>−</t>
        </is>
      </c>
      <c r="K8" s="5" t="inlineStr">
        <is>
          <t>Переплавка 125 т/предмет (160% ванили)</t>
        </is>
      </c>
      <c r="L8" s="5" t="inlineStr">
        <is>
          <t>1.6 GTU/т</t>
        </is>
      </c>
      <c r="M8" s="5" t="inlineStr">
        <is>
          <t>200 GTU/предмет</t>
        </is>
      </c>
      <c r="N8" s="5" t="inlineStr">
        <is>
          <t>160% ванильной скорости</t>
        </is>
      </c>
      <c r="O8" s="5" t="inlineStr">
        <is>
          <t>При примыкании стирлинга</t>
        </is>
      </c>
    </row>
    <row r="9">
      <c r="A9" s="4" t="inlineStr">
        <is>
          <t>Аккумулятор</t>
        </is>
      </c>
      <c r="B9" s="5" t="inlineStr">
        <is>
          <t>32</t>
        </is>
      </c>
      <c r="C9" s="5" t="inlineStr">
        <is>
          <t>10 840</t>
        </is>
      </c>
      <c r="D9" s="5" t="inlineStr">
        <is>
          <t>32</t>
        </is>
      </c>
      <c r="E9" s="5" t="inlineStr">
        <is>
          <t>−</t>
        </is>
      </c>
      <c r="F9" s="5" t="inlineStr">
        <is>
          <t>−</t>
        </is>
      </c>
      <c r="G9" s="5" t="inlineStr">
        <is>
          <t>−</t>
        </is>
      </c>
      <c r="H9" s="5" t="inlineStr">
        <is>
          <t>−</t>
        </is>
      </c>
      <c r="I9" s="5" t="inlineStr">
        <is>
          <t>−</t>
        </is>
      </c>
      <c r="J9" s="5" t="inlineStr">
        <is>
          <t>−</t>
        </is>
      </c>
      <c r="K9" s="5" t="inlineStr">
        <is>
          <t>Пассивный буфер</t>
        </is>
      </c>
      <c r="L9" s="5" t="inlineStr">
        <is>
          <t>−</t>
        </is>
      </c>
      <c r="M9" s="5" t="inlineStr">
        <is>
          <t>−</t>
        </is>
      </c>
      <c r="N9" s="5" t="inlineStr">
        <is>
          <t>саморазряд 0.016 GTU/т</t>
        </is>
      </c>
      <c r="O9" s="5" t="inlineStr">
        <is>
          <t>Провод T1 38 &gt; 32 — аккум больше не душит провод</t>
        </is>
      </c>
    </row>
    <row r="10">
      <c r="A10" s="4" t="inlineStr">
        <is>
          <t>Солнечная панель</t>
        </is>
      </c>
      <c r="B10" s="5" t="inlineStr">
        <is>
          <t>−</t>
        </is>
      </c>
      <c r="C10" s="5" t="inlineStr">
        <is>
          <t>126</t>
        </is>
      </c>
      <c r="D10" s="5" t="inlineStr">
        <is>
          <t>64</t>
        </is>
      </c>
      <c r="E10" s="5" t="inlineStr">
        <is>
          <t>−</t>
        </is>
      </c>
      <c r="F10" s="5" t="inlineStr">
        <is>
          <t>−</t>
        </is>
      </c>
      <c r="G10" s="5" t="inlineStr">
        <is>
          <t>−</t>
        </is>
      </c>
      <c r="H10" s="5" t="inlineStr">
        <is>
          <t>−</t>
        </is>
      </c>
      <c r="I10" s="5" t="inlineStr">
        <is>
          <t>−</t>
        </is>
      </c>
      <c r="J10" s="5" t="inlineStr">
        <is>
          <t>−</t>
        </is>
      </c>
      <c r="K10" s="5" t="inlineStr">
        <is>
          <t>Генерация: пик 15 GTU/т</t>
        </is>
      </c>
      <c r="L10" s="5" t="inlineStr">
        <is>
          <t>−</t>
        </is>
      </c>
      <c r="M10" s="5" t="inlineStr">
        <is>
          <t>−</t>
        </is>
      </c>
      <c r="N10" s="5" t="inlineStr">
        <is>
          <t>×0.75 багровый, ×0.8 осадки, ×0.6 горизонт, ×0.02 ночь</t>
        </is>
      </c>
      <c r="O10" s="5" t="inlineStr">
        <is>
          <t>−1%/день (мин 10%), блок сверху глушит</t>
        </is>
      </c>
    </row>
    <row r="11">
      <c r="A11" s="4" t="inlineStr">
        <is>
          <t>Помпа</t>
        </is>
      </c>
      <c r="B11" s="5" t="inlineStr">
        <is>
          <t>24</t>
        </is>
      </c>
      <c r="C11" s="5" t="inlineStr">
        <is>
          <t>362</t>
        </is>
      </c>
      <c r="D11" s="5" t="inlineStr">
        <is>
          <t>−</t>
        </is>
      </c>
      <c r="E11" s="5" t="inlineStr">
        <is>
          <t>−</t>
        </is>
      </c>
      <c r="F11" s="5" t="inlineStr">
        <is>
          <t>−</t>
        </is>
      </c>
      <c r="G11" s="5" t="inlineStr">
        <is>
          <t>−</t>
        </is>
      </c>
      <c r="H11" s="5" t="inlineStr">
        <is>
          <t>−</t>
        </is>
      </c>
      <c r="I11" s="5" t="inlineStr">
        <is>
          <t>вода 24 000</t>
        </is>
      </c>
      <c r="J11" s="5" t="inlineStr">
        <is>
          <t>вода 154</t>
        </is>
      </c>
      <c r="K11" s="5" t="inlineStr">
        <is>
          <t>Всасывание: 1 000 mB / 5 т</t>
        </is>
      </c>
      <c r="L11" s="5" t="inlineStr">
        <is>
          <t>2.8 GTU/т постоянно</t>
        </is>
      </c>
      <c r="M11" s="5" t="inlineStr">
        <is>
          <t>≈2.8 GTU на 1 000 mB</t>
        </is>
      </c>
      <c r="N11" s="5" t="inlineStr">
        <is>
          <t>−</t>
        </is>
      </c>
      <c r="O11" s="5" t="inlineStr">
        <is>
          <t>Жрёт даже без воды рядом</t>
        </is>
      </c>
    </row>
    <row r="12">
      <c r="A12" s="4" t="inlineStr">
        <is>
          <t>Генератор булыжника</t>
        </is>
      </c>
      <c r="B12" s="5" t="inlineStr">
        <is>
          <t>24</t>
        </is>
      </c>
      <c r="C12" s="5" t="inlineStr">
        <is>
          <t>362</t>
        </is>
      </c>
      <c r="D12" s="5" t="inlineStr">
        <is>
          <t>−</t>
        </is>
      </c>
      <c r="E12" s="5" t="inlineStr">
        <is>
          <t>−</t>
        </is>
      </c>
      <c r="F12" s="5" t="inlineStr">
        <is>
          <t>−</t>
        </is>
      </c>
      <c r="G12" s="5" t="inlineStr">
        <is>
          <t>−</t>
        </is>
      </c>
      <c r="H12" s="5" t="inlineStr">
        <is>
          <t>вода 1 000</t>
        </is>
      </c>
      <c r="I12" s="5" t="inlineStr">
        <is>
          <t>вода 6 000</t>
        </is>
      </c>
      <c r="J12" s="5" t="inlineStr">
        <is>
          <t>−</t>
        </is>
      </c>
      <c r="K12" s="5" t="inlineStr">
        <is>
          <t>1 камень: 220/160/140/110/100/70/50 т (кирка рука→незерит)</t>
        </is>
      </c>
      <c r="L12" s="5" t="inlineStr">
        <is>
          <t>0.8 GTU/т + 1 000 mB/камень</t>
        </is>
      </c>
      <c r="M12" s="5" t="inlineStr">
        <is>
          <t>40–176 GTU + 1 000 mB</t>
        </is>
      </c>
      <c r="N12" s="5" t="inlineStr">
        <is>
          <t>0.72 GTU/mB</t>
        </is>
      </c>
      <c r="O12" s="5" t="inlineStr">
        <is>
          <t>2% уголь, 1% железо, 0.1% обсидиан, 0.03% гонзо-камень</t>
        </is>
      </c>
    </row>
    <row r="13">
      <c r="A13" s="4" t="inlineStr">
        <is>
          <t>Дробилка</t>
        </is>
      </c>
      <c r="B13" s="5" t="inlineStr">
        <is>
          <t>48</t>
        </is>
      </c>
      <c r="C13" s="5" t="inlineStr">
        <is>
          <t>5 202</t>
        </is>
      </c>
      <c r="D13" s="5" t="inlineStr">
        <is>
          <t>−</t>
        </is>
      </c>
      <c r="E13" s="5" t="inlineStr">
        <is>
          <t>−</t>
        </is>
      </c>
      <c r="F13" s="5" t="inlineStr">
        <is>
          <t>−</t>
        </is>
      </c>
      <c r="G13" s="5" t="inlineStr">
        <is>
          <t>−</t>
        </is>
      </c>
      <c r="H13" s="5" t="inlineStr">
        <is>
          <t>−</t>
        </is>
      </c>
      <c r="I13" s="5" t="inlineStr">
        <is>
          <t>−</t>
        </is>
      </c>
      <c r="J13" s="5" t="inlineStr">
        <is>
          <t>−</t>
        </is>
      </c>
      <c r="K13" s="5" t="inlineStr">
        <is>
          <t>Дробление 410→280 т (по буферу)</t>
        </is>
      </c>
      <c r="L13" s="5" t="inlineStr">
        <is>
          <t>0.976→1.571 GTU/т</t>
        </is>
      </c>
      <c r="M13" s="5" t="inlineStr">
        <is>
          <t>400–440 GTU (как было — время дольше)</t>
        </is>
      </c>
      <c r="N13" s="5" t="inlineStr">
        <is>
          <t>−</t>
        </is>
      </c>
      <c r="O13" s="5" t="inlineStr">
        <is>
          <t>0.3.64: время ×4…×3.5, расход прежний</t>
        </is>
      </c>
    </row>
    <row r="14">
      <c r="A14" s="4" t="inlineStr">
        <is>
          <t>Центрифуга ЦФ1УР</t>
        </is>
      </c>
      <c r="B14" s="5" t="inlineStr">
        <is>
          <t>52</t>
        </is>
      </c>
      <c r="C14" s="5" t="inlineStr">
        <is>
          <t>2 202</t>
        </is>
      </c>
      <c r="D14" s="5" t="inlineStr">
        <is>
          <t>−</t>
        </is>
      </c>
      <c r="E14" s="5" t="inlineStr">
        <is>
          <t>−</t>
        </is>
      </c>
      <c r="F14" s="5" t="inlineStr">
        <is>
          <t>−</t>
        </is>
      </c>
      <c r="G14" s="5" t="inlineStr">
        <is>
          <t>−</t>
        </is>
      </c>
      <c r="H14" s="5" t="inlineStr">
        <is>
          <t>вода 256 / пар 256 (=кипяток)</t>
        </is>
      </c>
      <c r="I14" s="5" t="inlineStr">
        <is>
          <t>кипяток 8 000 (+скрытая вода 6 000)</t>
        </is>
      </c>
      <c r="J14" s="5" t="inlineStr">
        <is>
          <t>−</t>
        </is>
      </c>
      <c r="K14" s="5" t="inlineStr">
        <is>
          <t>Промывка 310 т; нагрев воды 16 mB/т</t>
        </is>
      </c>
      <c r="L14" s="5" t="inlineStr">
        <is>
          <t>1.18 GTU/т + кипяток; нагрев 1.6 GTU/т</t>
        </is>
      </c>
      <c r="M14" s="5" t="inlineStr">
        <is>
          <t>366 GTU + 1 000 mB кипятка (как было)</t>
        </is>
      </c>
      <c r="N14" s="5" t="inlineStr">
        <is>
          <t>−</t>
        </is>
      </c>
      <c r="O14" s="5" t="inlineStr">
        <is>
          <t>0.3.64: время ×1.29, расход прежний; пар 1:1 в кипяток</t>
        </is>
      </c>
    </row>
    <row r="15" ht="18" customHeight="1">
      <c r="A15" s="6" t="inlineStr">
        <is>
          <t>ТИР 1 — СИНТЕЗ ЖИДКОСТЕЙ</t>
        </is>
      </c>
    </row>
    <row r="16">
      <c r="A16" s="4" t="inlineStr">
        <is>
          <t>Ворт-котёл</t>
        </is>
      </c>
      <c r="B16" s="5" t="inlineStr">
        <is>
          <t>−</t>
        </is>
      </c>
      <c r="C16" s="5" t="inlineStr">
        <is>
          <t>−</t>
        </is>
      </c>
      <c r="D16" s="5" t="inlineStr">
        <is>
          <t>−</t>
        </is>
      </c>
      <c r="E16" s="5" t="inlineStr">
        <is>
          <t>128</t>
        </is>
      </c>
      <c r="F16" s="5" t="inlineStr">
        <is>
          <t>18 302</t>
        </is>
      </c>
      <c r="G16" s="5" t="inlineStr">
        <is>
          <t>−</t>
        </is>
      </c>
      <c r="H16" s="5" t="inlineStr">
        <is>
          <t>−</t>
        </is>
      </c>
      <c r="I16" s="5" t="inlineStr">
        <is>
          <t>затор 12 288; сусло 12 288</t>
        </is>
      </c>
      <c r="J16" s="5" t="inlineStr">
        <is>
          <t>сусло 392</t>
        </is>
      </c>
      <c r="K16" s="5" t="inlineStr">
        <is>
          <t>Кипячение 26 mB/т; испарение 2 mB/т</t>
        </is>
      </c>
      <c r="L16" s="5" t="inlineStr">
        <is>
          <t>42 GTH/т; 16 GTH/т</t>
        </is>
      </c>
      <c r="M16" s="5" t="inlineStr">
        <is>
          <t>−</t>
        </is>
      </c>
      <c r="N16" s="5" t="inlineStr">
        <is>
          <t>−</t>
        </is>
      </c>
      <c r="O16" s="5" t="inlineStr">
        <is>
          <t>Алкоголь сусла ≤30%; шкалы кратны 128 ✓</t>
        </is>
      </c>
    </row>
    <row r="17">
      <c r="A17" s="4" t="inlineStr">
        <is>
          <t>Чан брожения</t>
        </is>
      </c>
      <c r="B17" s="5" t="inlineStr">
        <is>
          <t>−</t>
        </is>
      </c>
      <c r="C17" s="5" t="inlineStr">
        <is>
          <t>−</t>
        </is>
      </c>
      <c r="D17" s="5" t="inlineStr">
        <is>
          <t>−</t>
        </is>
      </c>
      <c r="E17" s="5" t="inlineStr">
        <is>
          <t>128</t>
        </is>
      </c>
      <c r="F17" s="5" t="inlineStr">
        <is>
          <t>5 040 (+30 000 вольфрам)</t>
        </is>
      </c>
      <c r="G17" s="5" t="inlineStr">
        <is>
          <t>−</t>
        </is>
      </c>
      <c r="H17" s="5" t="inlineStr">
        <is>
          <t>−</t>
        </is>
      </c>
      <c r="I17" s="5" t="inlineStr">
        <is>
          <t>затор 16 384</t>
        </is>
      </c>
      <c r="J17" s="5" t="inlineStr">
        <is>
          <t>392</t>
        </is>
      </c>
      <c r="K17" s="5" t="inlineStr">
        <is>
          <t>Брожение (пассивно)</t>
        </is>
      </c>
      <c r="L17" s="5" t="inlineStr">
        <is>
          <t>68 GTH/т</t>
        </is>
      </c>
      <c r="M17" s="5" t="inlineStr">
        <is>
          <t>−</t>
        </is>
      </c>
      <c r="N17" s="5" t="inlineStr">
        <is>
          <t>−</t>
        </is>
      </c>
      <c r="O17" s="5" t="inlineStr">
        <is>
          <t>Алкоголь ≤13%, rot ≤98%</t>
        </is>
      </c>
    </row>
    <row r="18">
      <c r="A18" s="4" t="inlineStr">
        <is>
          <t>Дистиллятор</t>
        </is>
      </c>
      <c r="B18" s="5" t="inlineStr">
        <is>
          <t>−</t>
        </is>
      </c>
      <c r="C18" s="5" t="inlineStr">
        <is>
          <t>−</t>
        </is>
      </c>
      <c r="D18" s="5" t="inlineStr">
        <is>
          <t>−</t>
        </is>
      </c>
      <c r="E18" s="5" t="inlineStr">
        <is>
          <t>128</t>
        </is>
      </c>
      <c r="F18" s="5" t="inlineStr">
        <is>
          <t>12 096</t>
        </is>
      </c>
      <c r="G18" s="5" t="inlineStr">
        <is>
          <t>−</t>
        </is>
      </c>
      <c r="H18" s="5" t="inlineStr">
        <is>
          <t>−</t>
        </is>
      </c>
      <c r="I18" s="5" t="inlineStr">
        <is>
          <t>сырец 8 064; вода 2 048; выход 8 064; кипяток 512</t>
        </is>
      </c>
      <c r="J18" s="5" t="inlineStr">
        <is>
          <t>392</t>
        </is>
      </c>
      <c r="K18" s="5" t="inlineStr">
        <is>
          <t>Перегонка: 11 сырца + 20 воды / т</t>
        </is>
      </c>
      <c r="L18" s="5" t="inlineStr">
        <is>
          <t>64 GTH/т</t>
        </is>
      </c>
      <c r="M18" s="5" t="inlineStr">
        <is>
          <t>−</t>
        </is>
      </c>
      <c r="N18" s="5" t="inlineStr">
        <is>
          <t>−</t>
        </is>
      </c>
      <c r="O18" s="5" t="inlineStr">
        <is>
          <t>Все шкалы кратны 128 ✓</t>
        </is>
      </c>
    </row>
    <row r="19">
      <c r="A19" s="4" t="inlineStr">
        <is>
          <t>Ректификатор</t>
        </is>
      </c>
      <c r="B19" s="5" t="inlineStr">
        <is>
          <t>66</t>
        </is>
      </c>
      <c r="C19" s="5" t="inlineStr">
        <is>
          <t>10 368</t>
        </is>
      </c>
      <c r="D19" s="5" t="inlineStr">
        <is>
          <t>−</t>
        </is>
      </c>
      <c r="E19" s="5" t="inlineStr">
        <is>
          <t>128</t>
        </is>
      </c>
      <c r="F19" s="5" t="inlineStr">
        <is>
          <t>6 912</t>
        </is>
      </c>
      <c r="G19" s="5" t="inlineStr">
        <is>
          <t>−</t>
        </is>
      </c>
      <c r="H19" s="5" t="inlineStr">
        <is>
          <t>−</t>
        </is>
      </c>
      <c r="I19" s="5" t="inlineStr">
        <is>
          <t>дистиллят 9 984; ректификат 7 168</t>
        </is>
      </c>
      <c r="J19" s="5" t="inlineStr">
        <is>
          <t>392</t>
        </is>
      </c>
      <c r="K19" s="5" t="inlineStr">
        <is>
          <t>2 дистиллята → 1 ректификат</t>
        </is>
      </c>
      <c r="L19" s="5" t="inlineStr">
        <is>
          <t>6 GTH/т + 9 GTU/т (за тик цикла)</t>
        </is>
      </c>
      <c r="M19" s="5" t="inlineStr">
        <is>
          <t>−</t>
        </is>
      </c>
      <c r="N19" s="5" t="inlineStr">
        <is>
          <t>−</t>
        </is>
      </c>
      <c r="O19" s="5" t="inlineStr">
        <is>
          <t>Приём GTU 66 не менялся (не указан)</t>
        </is>
      </c>
    </row>
    <row r="20">
      <c r="A20" s="4" t="inlineStr">
        <is>
          <t>Раздаточный кран</t>
        </is>
      </c>
      <c r="B20" s="5" t="inlineStr">
        <is>
          <t>−</t>
        </is>
      </c>
      <c r="C20" s="5" t="inlineStr">
        <is>
          <t>−</t>
        </is>
      </c>
      <c r="D20" s="5" t="inlineStr">
        <is>
          <t>−</t>
        </is>
      </c>
      <c r="E20" s="5" t="inlineStr">
        <is>
          <t>−</t>
        </is>
      </c>
      <c r="F20" s="5" t="inlineStr">
        <is>
          <t>−</t>
        </is>
      </c>
      <c r="G20" s="5" t="inlineStr">
        <is>
          <t>−</t>
        </is>
      </c>
      <c r="H20" s="5" t="inlineStr">
        <is>
          <t>−</t>
        </is>
      </c>
      <c r="I20" s="5" t="inlineStr">
        <is>
          <t>дистиллят 256; сусло 1 024</t>
        </is>
      </c>
      <c r="J20" s="5" t="inlineStr">
        <is>
          <t>−</t>
        </is>
      </c>
      <c r="K20" s="5" t="inlineStr">
        <is>
          <t>Розлив вёдра/пузырьки</t>
        </is>
      </c>
      <c r="L20" s="5" t="inlineStr">
        <is>
          <t>−</t>
        </is>
      </c>
      <c r="M20" s="5" t="inlineStr">
        <is>
          <t>−</t>
        </is>
      </c>
      <c r="N20" s="5" t="inlineStr">
        <is>
          <t>−</t>
        </is>
      </c>
      <c r="O20" s="5" t="inlineStr">
        <is>
          <t>Шкалы кратны 128 ✓</t>
        </is>
      </c>
    </row>
    <row r="21">
      <c r="A21" s="4" t="inlineStr">
        <is>
          <t>Змеевиковый конденсатор</t>
        </is>
      </c>
      <c r="B21" s="5" t="inlineStr">
        <is>
          <t>−</t>
        </is>
      </c>
      <c r="C21" s="5" t="inlineStr">
        <is>
          <t>−</t>
        </is>
      </c>
      <c r="D21" s="5" t="inlineStr">
        <is>
          <t>−</t>
        </is>
      </c>
      <c r="E21" s="5" t="inlineStr">
        <is>
          <t>−</t>
        </is>
      </c>
      <c r="F21" s="5" t="inlineStr">
        <is>
          <t>−</t>
        </is>
      </c>
      <c r="G21" s="5" t="inlineStr">
        <is>
          <t>−</t>
        </is>
      </c>
      <c r="H21" s="5" t="inlineStr">
        <is>
          <t>кипяток 392</t>
        </is>
      </c>
      <c r="I21" s="5" t="inlineStr">
        <is>
          <t>кипяток 8 064; вода 8 064</t>
        </is>
      </c>
      <c r="J21" s="5" t="inlineStr">
        <is>
          <t>вода 392</t>
        </is>
      </c>
      <c r="K21" s="5" t="inlineStr">
        <is>
          <t>Кипяток→вода, охлаждение 2 mB/т (база)</t>
        </is>
      </c>
      <c r="L21" s="5" t="inlineStr">
        <is>
          <t>−</t>
        </is>
      </c>
      <c r="M21" s="5" t="inlineStr">
        <is>
          <t>−</t>
        </is>
      </c>
      <c r="N21" s="5" t="inlineStr">
        <is>
          <t>−</t>
        </is>
      </c>
      <c r="O21" s="5" t="inlineStr">
        <is>
          <t>0.3.64: шкалы 8 000→8 064 (кратность 128)</t>
        </is>
      </c>
    </row>
    <row r="22">
      <c r="A22" s="4" t="inlineStr">
        <is>
          <t>Наполнитель (Filler)</t>
        </is>
      </c>
      <c r="B22" s="5" t="inlineStr">
        <is>
          <t>96</t>
        </is>
      </c>
      <c r="C22" s="5" t="inlineStr">
        <is>
          <t>8 808</t>
        </is>
      </c>
      <c r="D22" s="5" t="inlineStr">
        <is>
          <t>−</t>
        </is>
      </c>
      <c r="E22" s="5" t="inlineStr">
        <is>
          <t>−</t>
        </is>
      </c>
      <c r="F22" s="5" t="inlineStr">
        <is>
          <t>2 000</t>
        </is>
      </c>
      <c r="G22" s="5" t="inlineStr">
        <is>
          <t>−</t>
        </is>
      </c>
      <c r="H22" s="5" t="inlineStr">
        <is>
          <t>−</t>
        </is>
      </c>
      <c r="I22" s="5" t="inlineStr">
        <is>
          <t>танк 9 000</t>
        </is>
      </c>
      <c r="J22" s="5" t="inlineStr">
        <is>
          <t>−</t>
        </is>
      </c>
      <c r="K22" s="5" t="inlineStr">
        <is>
          <t>Рецепты: 75/165/270/30/150/90 т; выпарка 120 т (все ×1.5)</t>
        </is>
      </c>
      <c r="L22" s="5" t="inlineStr">
        <is>
          <t>по рецепту (GTH/t и GTU/t прежние)</t>
        </is>
      </c>
      <c r="M22" s="5" t="inlineStr">
        <is>
          <t>×1.5 к прежней</t>
        </is>
      </c>
      <c r="N22" s="5" t="inlineStr">
        <is>
          <t>−</t>
        </is>
      </c>
      <c r="O22" s="5" t="inlineStr">
        <is>
          <t>Канистра опустошается по 128 mB/т (не мгновенно); смена баков 32 GTU</t>
        </is>
      </c>
    </row>
    <row r="23">
      <c r="A23" s="4" t="inlineStr">
        <is>
          <t>Химический завод</t>
        </is>
      </c>
      <c r="B23" s="5" t="inlineStr">
        <is>
          <t>96</t>
        </is>
      </c>
      <c r="C23" s="5" t="inlineStr">
        <is>
          <t>10 840</t>
        </is>
      </c>
      <c r="D23" s="5" t="inlineStr">
        <is>
          <t>−</t>
        </is>
      </c>
      <c r="E23" s="5" t="inlineStr">
        <is>
          <t>−</t>
        </is>
      </c>
      <c r="F23" s="5" t="inlineStr">
        <is>
          <t>−</t>
        </is>
      </c>
      <c r="G23" s="5" t="inlineStr">
        <is>
          <t>−</t>
        </is>
      </c>
      <c r="H23" s="5" t="inlineStr">
        <is>
          <t>−</t>
        </is>
      </c>
      <c r="I23" s="5" t="inlineStr">
        <is>
          <t>−</t>
        </is>
      </c>
      <c r="J23" s="5" t="inlineStr">
        <is>
          <t>−</t>
        </is>
      </c>
      <c r="K23" s="5" t="inlineStr">
        <is>
          <t>Реакция: 240 т (было 160)</t>
        </is>
      </c>
      <c r="L23" s="5" t="inlineStr">
        <is>
          <t>1.9 GTU/т (прежний)</t>
        </is>
      </c>
      <c r="M23" s="5" t="inlineStr">
        <is>
          <t>456 GTU/реакцию (было 304)</t>
        </is>
      </c>
      <c r="N23" s="5" t="inlineStr">
        <is>
          <t>−</t>
        </is>
      </c>
      <c r="O23" s="5" t="inlineStr">
        <is>
          <t>×1.5 время и ×1.5 расход; катализаторы 3, сетка 3×3, шлак 4–6</t>
        </is>
      </c>
    </row>
    <row r="24" ht="18" customHeight="1">
      <c r="A24" s="7" t="inlineStr">
        <is>
          <t>МНОГОБЛОКИ (паровая эра)</t>
        </is>
      </c>
    </row>
    <row r="25">
      <c r="A25" s="4" t="inlineStr">
        <is>
          <t>Паровая турбина (многоблок)</t>
        </is>
      </c>
      <c r="B25" s="5" t="inlineStr">
        <is>
          <t>−</t>
        </is>
      </c>
      <c r="C25" s="5" t="inlineStr">
        <is>
          <t>64 × рот.</t>
        </is>
      </c>
      <c r="D25" s="5" t="inlineStr">
        <is>
          <t>−</t>
        </is>
      </c>
      <c r="E25" s="5" t="inlineStr">
        <is>
          <t>−</t>
        </is>
      </c>
      <c r="F25" s="5" t="inlineStr">
        <is>
          <t>−</t>
        </is>
      </c>
      <c r="G25" s="5" t="inlineStr">
        <is>
          <t>−</t>
        </is>
      </c>
      <c r="H25" s="5" t="inlineStr">
        <is>
          <t>пар 100 × рот.</t>
        </is>
      </c>
      <c r="I25" s="5" t="inlineStr">
        <is>
          <t>пар 1 000 × рот.</t>
        </is>
      </c>
      <c r="J25" s="5" t="inlineStr">
        <is>
          <t>−</t>
        </is>
      </c>
      <c r="K25" s="5" t="inlineStr">
        <is>
          <t>Пар→GTU: 64 mB/т на ротор</t>
        </is>
      </c>
      <c r="L25" s="5" t="inlineStr">
        <is>
          <t>64 mB пара/т на ротор</t>
        </is>
      </c>
      <c r="M25" s="5" t="inlineStr">
        <is>
          <t>56 mB → 1.5 GTU (эталон)</t>
        </is>
      </c>
      <c r="N25" s="5" t="inlineStr">
        <is>
          <t>26.8 GTU / 1 000 mB пара</t>
        </is>
      </c>
      <c r="O25" s="5" t="inlineStr">
        <is>
          <t>0.3.64: НЕ ТРОНУТА. M(N)=N·(1−(N/100)^1.778), пик N≈56 (61.4 GTU/t)</t>
        </is>
      </c>
    </row>
    <row r="26">
      <c r="A26" s="4" t="inlineStr">
        <is>
          <t>Парогенератор 5×5×5</t>
        </is>
      </c>
      <c r="B26" s="5" t="inlineStr">
        <is>
          <t>−</t>
        </is>
      </c>
      <c r="C26" s="5" t="inlineStr">
        <is>
          <t>−</t>
        </is>
      </c>
      <c r="D26" s="5" t="inlineStr">
        <is>
          <t>−</t>
        </is>
      </c>
      <c r="E26" s="5" t="inlineStr">
        <is>
          <t>−</t>
        </is>
      </c>
      <c r="F26" s="5" t="inlineStr">
        <is>
          <t>4 096 × ядро</t>
        </is>
      </c>
      <c r="G26" s="5" t="inlineStr">
        <is>
          <t>−</t>
        </is>
      </c>
      <c r="H26" s="5" t="inlineStr">
        <is>
          <t>вода 128 × ядро</t>
        </is>
      </c>
      <c r="I26" s="5" t="inlineStr">
        <is>
          <t>вода 488 × ядро; пар 1 526 × ядро</t>
        </is>
      </c>
      <c r="J26" s="5" t="inlineStr">
        <is>
          <t>пар 128 × ядро</t>
        </is>
      </c>
      <c r="K26" s="5" t="inlineStr">
        <is>
          <t>Цикл: 16 mB воды + 12 GTH → 12 mB пара × M</t>
        </is>
      </c>
      <c r="L26" s="5" t="inlineStr">
        <is>
          <t>до 34 mB пара/т на ядро (до множителя)</t>
        </is>
      </c>
      <c r="M26" s="5" t="inlineStr">
        <is>
          <t>−</t>
        </is>
      </c>
      <c r="N26" s="5" t="inlineStr">
        <is>
          <t>M = 1 + 0.93·E_avg·(1+0.1(n−1)); плато 25я+2о ≈ 1 502 mB/t; 1я+26о = 117 mB/t, 92.2 GTU/1000 GTH</t>
        </is>
      </c>
      <c r="O26" s="5" t="inlineStr">
        <is>
          <t>0.3.64: варка 15→16 mB и 11→12 GTH, E ×0.93 — обменники бьются, плато сохранено</t>
        </is>
      </c>
    </row>
    <row r="27" ht="18" customHeight="1">
      <c r="A27" s="8" t="inlineStr">
        <is>
          <t>ЛОГИСТИКА ТИР 1</t>
        </is>
      </c>
    </row>
    <row r="28">
      <c r="A28" s="4" t="inlineStr">
        <is>
          <t>Провод (T1)</t>
        </is>
      </c>
      <c r="B28" s="5" t="inlineStr">
        <is>
          <t>38 (сеть)</t>
        </is>
      </c>
      <c r="C28" s="5" t="inlineStr">
        <is>
          <t>− (пассивен)</t>
        </is>
      </c>
      <c r="D28" s="5" t="inlineStr">
        <is>
          <t>38</t>
        </is>
      </c>
      <c r="E28" s="5" t="inlineStr">
        <is>
          <t>−</t>
        </is>
      </c>
      <c r="F28" s="5" t="inlineStr">
        <is>
          <t>−</t>
        </is>
      </c>
      <c r="G28" s="5" t="inlineStr">
        <is>
          <t>−</t>
        </is>
      </c>
      <c r="H28" s="5" t="inlineStr">
        <is>
          <t>−</t>
        </is>
      </c>
      <c r="I28" s="5" t="inlineStr">
        <is>
          <t>−</t>
        </is>
      </c>
      <c r="J28" s="5" t="inlineStr">
        <is>
          <t>−</t>
        </is>
      </c>
      <c r="K28" s="5" t="inlineStr">
        <is>
          <t>GTU</t>
        </is>
      </c>
      <c r="L28" s="5" t="inlineStr">
        <is>
          <t>−</t>
        </is>
      </c>
      <c r="M28" s="5" t="inlineStr">
        <is>
          <t>−</t>
        </is>
      </c>
      <c r="N28" s="5" t="inlineStr">
        <is>
          <t>потеря 0.08 GTU/блок</t>
        </is>
      </c>
      <c r="O28" s="5" t="inlineStr">
        <is>
          <t>0.3.64: НЕ ТРОНУТ (38)</t>
        </is>
      </c>
    </row>
    <row r="29">
      <c r="A29" s="4" t="inlineStr">
        <is>
          <t>Теплотруба (T1)</t>
        </is>
      </c>
      <c r="B29" s="5" t="inlineStr">
        <is>
          <t>−</t>
        </is>
      </c>
      <c r="C29" s="5" t="inlineStr">
        <is>
          <t>−</t>
        </is>
      </c>
      <c r="D29" s="5" t="inlineStr">
        <is>
          <t>−</t>
        </is>
      </c>
      <c r="E29" s="5" t="inlineStr">
        <is>
          <t>256 (сеть)</t>
        </is>
      </c>
      <c r="F29" s="5" t="inlineStr">
        <is>
          <t>−</t>
        </is>
      </c>
      <c r="G29" s="5" t="inlineStr">
        <is>
          <t>256</t>
        </is>
      </c>
      <c r="H29" s="5" t="inlineStr">
        <is>
          <t>−</t>
        </is>
      </c>
      <c r="I29" s="5" t="inlineStr">
        <is>
          <t>−</t>
        </is>
      </c>
      <c r="J29" s="5" t="inlineStr">
        <is>
          <t>−</t>
        </is>
      </c>
      <c r="K29" s="5" t="inlineStr">
        <is>
          <t>GTH</t>
        </is>
      </c>
      <c r="L29" s="5" t="inlineStr">
        <is>
          <t>−</t>
        </is>
      </c>
      <c r="M29" s="5" t="inlineStr">
        <is>
          <t>−</t>
        </is>
      </c>
      <c r="N29" s="5" t="inlineStr">
        <is>
          <t>потеря 0.22 GTH/блок</t>
        </is>
      </c>
      <c r="O29" s="5" t="inlineStr">
        <is>
          <t>было 388</t>
        </is>
      </c>
    </row>
    <row r="30">
      <c r="A30" s="4" t="inlineStr">
        <is>
          <t>Водная труба (T1)</t>
        </is>
      </c>
      <c r="B30" s="5" t="inlineStr">
        <is>
          <t>−</t>
        </is>
      </c>
      <c r="C30" s="5" t="inlineStr">
        <is>
          <t>−</t>
        </is>
      </c>
      <c r="D30" s="5" t="inlineStr">
        <is>
          <t>−</t>
        </is>
      </c>
      <c r="E30" s="5" t="inlineStr">
        <is>
          <t>−</t>
        </is>
      </c>
      <c r="F30" s="5" t="inlineStr">
        <is>
          <t>−</t>
        </is>
      </c>
      <c r="G30" s="5" t="inlineStr">
        <is>
          <t>−</t>
        </is>
      </c>
      <c r="H30" s="5" t="inlineStr">
        <is>
          <t>392</t>
        </is>
      </c>
      <c r="I30" s="5" t="inlineStr">
        <is>
          <t>−</t>
        </is>
      </c>
      <c r="J30" s="5" t="inlineStr">
        <is>
          <t>392</t>
        </is>
      </c>
      <c r="K30" s="5" t="inlineStr">
        <is>
          <t>Вода</t>
        </is>
      </c>
      <c r="L30" s="5" t="inlineStr">
        <is>
          <t>−</t>
        </is>
      </c>
      <c r="M30" s="5" t="inlineStr">
        <is>
          <t>−</t>
        </is>
      </c>
      <c r="N30" s="5" t="inlineStr">
        <is>
          <t>−</t>
        </is>
      </c>
      <c r="O30" s="5" t="inlineStr">
        <is>
          <t>было 1 000</t>
        </is>
      </c>
    </row>
    <row r="31">
      <c r="A31" s="4" t="inlineStr">
        <is>
          <t>Паровая труба (T1)</t>
        </is>
      </c>
      <c r="B31" s="5" t="inlineStr">
        <is>
          <t>−</t>
        </is>
      </c>
      <c r="C31" s="5" t="inlineStr">
        <is>
          <t>−</t>
        </is>
      </c>
      <c r="D31" s="5" t="inlineStr">
        <is>
          <t>−</t>
        </is>
      </c>
      <c r="E31" s="5" t="inlineStr">
        <is>
          <t>−</t>
        </is>
      </c>
      <c r="F31" s="5" t="inlineStr">
        <is>
          <t>−</t>
        </is>
      </c>
      <c r="G31" s="5" t="inlineStr">
        <is>
          <t>−</t>
        </is>
      </c>
      <c r="H31" s="5" t="inlineStr">
        <is>
          <t>392</t>
        </is>
      </c>
      <c r="I31" s="5" t="inlineStr">
        <is>
          <t>−</t>
        </is>
      </c>
      <c r="J31" s="5" t="inlineStr">
        <is>
          <t>392</t>
        </is>
      </c>
      <c r="K31" s="5" t="inlineStr">
        <is>
          <t>Пар</t>
        </is>
      </c>
      <c r="L31" s="5" t="inlineStr">
        <is>
          <t>−</t>
        </is>
      </c>
      <c r="M31" s="5" t="inlineStr">
        <is>
          <t>−</t>
        </is>
      </c>
      <c r="N31" s="5" t="inlineStr">
        <is>
          <t>−</t>
        </is>
      </c>
      <c r="O31" s="5" t="inlineStr">
        <is>
          <t>было 1 000</t>
        </is>
      </c>
    </row>
    <row r="32">
      <c r="A32" s="4" t="inlineStr">
        <is>
          <t>Универсальная жидкостная труба (T1)</t>
        </is>
      </c>
      <c r="B32" s="5" t="inlineStr">
        <is>
          <t>−</t>
        </is>
      </c>
      <c r="C32" s="5" t="inlineStr">
        <is>
          <t>−</t>
        </is>
      </c>
      <c r="D32" s="5" t="inlineStr">
        <is>
          <t>−</t>
        </is>
      </c>
      <c r="E32" s="5" t="inlineStr">
        <is>
          <t>−</t>
        </is>
      </c>
      <c r="F32" s="5" t="inlineStr">
        <is>
          <t>−</t>
        </is>
      </c>
      <c r="G32" s="5" t="inlineStr">
        <is>
          <t>−</t>
        </is>
      </c>
      <c r="H32" s="5" t="inlineStr">
        <is>
          <t>316 (сумма)</t>
        </is>
      </c>
      <c r="I32" s="5" t="inlineStr">
        <is>
          <t>−</t>
        </is>
      </c>
      <c r="J32" s="5" t="inlineStr">
        <is>
          <t>316 (сумма)</t>
        </is>
      </c>
      <c r="K32" s="5" t="inlineStr">
        <is>
          <t>Вода + пар общим бюджетом</t>
        </is>
      </c>
      <c r="L32" s="5" t="inlineStr">
        <is>
          <t>−</t>
        </is>
      </c>
      <c r="M32" s="5" t="inlineStr">
        <is>
          <t>−</t>
        </is>
      </c>
      <c r="N32" s="5" t="inlineStr">
        <is>
          <t>−</t>
        </is>
      </c>
      <c r="O32" s="5" t="inlineStr">
        <is>
          <t>было 800</t>
        </is>
      </c>
    </row>
    <row r="33">
      <c r="A33" s="4" t="inlineStr">
        <is>
          <t>Предметная труба (T1)</t>
        </is>
      </c>
      <c r="B33" s="5" t="inlineStr">
        <is>
          <t>−</t>
        </is>
      </c>
      <c r="C33" s="5" t="inlineStr">
        <is>
          <t>−</t>
        </is>
      </c>
      <c r="D33" s="5" t="inlineStr">
        <is>
          <t>−</t>
        </is>
      </c>
      <c r="E33" s="5" t="inlineStr">
        <is>
          <t>−</t>
        </is>
      </c>
      <c r="F33" s="5" t="inlineStr">
        <is>
          <t>−</t>
        </is>
      </c>
      <c r="G33" s="5" t="inlineStr">
        <is>
          <t>−</t>
        </is>
      </c>
      <c r="H33" s="5" t="inlineStr">
        <is>
          <t>−</t>
        </is>
      </c>
      <c r="I33" s="5" t="inlineStr">
        <is>
          <t>−</t>
        </is>
      </c>
      <c r="J33" s="5" t="inlineStr">
        <is>
          <t>−</t>
        </is>
      </c>
      <c r="K33" s="5" t="inlineStr">
        <is>
          <t>Предметы: 5 шт/т</t>
        </is>
      </c>
      <c r="L33" s="5" t="inlineStr">
        <is>
          <t>−</t>
        </is>
      </c>
      <c r="M33" s="5" t="inlineStr">
        <is>
          <t>−</t>
        </is>
      </c>
      <c r="N33" s="5" t="inlineStr">
        <is>
          <t>−</t>
        </is>
      </c>
      <c r="O33" s="5" t="inlineStr">
        <is>
          <t>не тронута; вид ≤1 шт/т</t>
        </is>
      </c>
    </row>
    <row r="34">
      <c r="A34" s="4" t="inlineStr">
        <is>
          <t>Предметный узел / фильтр / собиратель (T1)</t>
        </is>
      </c>
      <c r="B34" s="5" t="inlineStr">
        <is>
          <t>−</t>
        </is>
      </c>
      <c r="C34" s="5" t="inlineStr">
        <is>
          <t>−</t>
        </is>
      </c>
      <c r="D34" s="5" t="inlineStr">
        <is>
          <t>−</t>
        </is>
      </c>
      <c r="E34" s="5" t="inlineStr">
        <is>
          <t>−</t>
        </is>
      </c>
      <c r="F34" s="5" t="inlineStr">
        <is>
          <t>−</t>
        </is>
      </c>
      <c r="G34" s="5" t="inlineStr">
        <is>
          <t>−</t>
        </is>
      </c>
      <c r="H34" s="5" t="inlineStr">
        <is>
          <t>−</t>
        </is>
      </c>
      <c r="I34" s="5" t="inlineStr">
        <is>
          <t>−</t>
        </is>
      </c>
      <c r="J34" s="5" t="inlineStr">
        <is>
          <t>−</t>
        </is>
      </c>
      <c r="K34" s="5" t="inlineStr">
        <is>
          <t>Маршрутизация</t>
        </is>
      </c>
      <c r="L34" s="5" t="inlineStr">
        <is>
          <t>−</t>
        </is>
      </c>
      <c r="M34" s="5" t="inlineStr">
        <is>
          <t>−</t>
        </is>
      </c>
      <c r="N34" s="5" t="inlineStr">
        <is>
          <t>−</t>
        </is>
      </c>
      <c r="O34" s="5" t="inlineStr">
        <is>
          <t>не тронуты</t>
        </is>
      </c>
    </row>
    <row r="35">
      <c r="A35" s="4" t="inlineStr">
        <is>
          <t>Универсальный узел (T1)</t>
        </is>
      </c>
      <c r="B35" s="5" t="inlineStr">
        <is>
          <t>×0.9</t>
        </is>
      </c>
      <c r="C35" s="5" t="inlineStr">
        <is>
          <t>−</t>
        </is>
      </c>
      <c r="D35" s="5" t="inlineStr">
        <is>
          <t>×0.9</t>
        </is>
      </c>
      <c r="E35" s="5" t="inlineStr">
        <is>
          <t>×0.9</t>
        </is>
      </c>
      <c r="F35" s="5" t="inlineStr">
        <is>
          <t>−</t>
        </is>
      </c>
      <c r="G35" s="5" t="inlineStr">
        <is>
          <t>×0.9</t>
        </is>
      </c>
      <c r="H35" s="5" t="inlineStr">
        <is>
          <t>×0.9</t>
        </is>
      </c>
      <c r="I35" s="5" t="inlineStr">
        <is>
          <t>−</t>
        </is>
      </c>
      <c r="J35" s="5" t="inlineStr">
        <is>
          <t>×0.9</t>
        </is>
      </c>
      <c r="K35" s="5" t="inlineStr">
        <is>
          <t>Любые сети</t>
        </is>
      </c>
      <c r="L35" s="5" t="inlineStr">
        <is>
          <t>−</t>
        </is>
      </c>
      <c r="M35" s="5" t="inlineStr">
        <is>
          <t>−</t>
        </is>
      </c>
      <c r="N35" s="5" t="inlineStr">
        <is>
          <t>−0.1 ко всем пропускностям</t>
        </is>
      </c>
      <c r="O35" s="5" t="inlineStr">
        <is>
          <t>×0.9 ОТ НОВЫХ значений; без потерь на блок</t>
        </is>
      </c>
    </row>
    <row r="36" ht="18" customHeight="1">
      <c r="A36" s="9" t="inlineStr">
        <is>
          <t>ТИР 2 — ЗАВОДЫ</t>
        </is>
      </c>
    </row>
    <row r="37">
      <c r="A37" s="4" t="inlineStr">
        <is>
          <t>Электропечь II</t>
        </is>
      </c>
      <c r="B37" s="5" t="inlineStr">
        <is>
          <t>48</t>
        </is>
      </c>
      <c r="C37" s="5" t="inlineStr">
        <is>
          <t>5 202</t>
        </is>
      </c>
      <c r="D37" s="5" t="inlineStr">
        <is>
          <t>−</t>
        </is>
      </c>
      <c r="E37" s="5" t="inlineStr">
        <is>
          <t>−</t>
        </is>
      </c>
      <c r="F37" s="5" t="inlineStr">
        <is>
          <t>−</t>
        </is>
      </c>
      <c r="G37" s="5" t="inlineStr">
        <is>
          <t>−</t>
        </is>
      </c>
      <c r="H37" s="5" t="inlineStr">
        <is>
          <t>−</t>
        </is>
      </c>
      <c r="I37" s="5" t="inlineStr">
        <is>
          <t>−</t>
        </is>
      </c>
      <c r="J37" s="5" t="inlineStr">
        <is>
          <t>−</t>
        </is>
      </c>
      <c r="K37" s="5" t="inlineStr">
        <is>
          <t>Переплавка: 90 т/предмет</t>
        </is>
      </c>
      <c r="L37" s="5" t="inlineStr">
        <is>
          <t>2.444 GTU/т</t>
        </is>
      </c>
      <c r="M37" s="5" t="inlineStr">
        <is>
          <t>220 GTU/предмет</t>
        </is>
      </c>
      <c r="N37" s="5" t="inlineStr">
        <is>
          <t>222% ванильной скорости</t>
        </is>
      </c>
      <c r="O37" s="5" t="inlineStr">
        <is>
          <t>СВОЙ приём 48 (раньше делила 64 с T1)</t>
        </is>
      </c>
    </row>
    <row r="38">
      <c r="A38" s="4" t="inlineStr">
        <is>
          <t>Измельчитель</t>
        </is>
      </c>
      <c r="B38" s="5" t="inlineStr">
        <is>
          <t>48</t>
        </is>
      </c>
      <c r="C38" s="5" t="inlineStr">
        <is>
          <t>644</t>
        </is>
      </c>
      <c r="D38" s="5" t="inlineStr">
        <is>
          <t>−</t>
        </is>
      </c>
      <c r="E38" s="5" t="inlineStr">
        <is>
          <t>−</t>
        </is>
      </c>
      <c r="F38" s="5" t="inlineStr">
        <is>
          <t>−</t>
        </is>
      </c>
      <c r="G38" s="5" t="inlineStr">
        <is>
          <t>−</t>
        </is>
      </c>
      <c r="H38" s="5" t="inlineStr">
        <is>
          <t>−</t>
        </is>
      </c>
      <c r="I38" s="5" t="inlineStr">
        <is>
          <t>−</t>
        </is>
      </c>
      <c r="J38" s="5" t="inlineStr">
        <is>
          <t>−</t>
        </is>
      </c>
      <c r="K38" s="5" t="inlineStr">
        <is>
          <t>Измельчение: 160 т (было 35)</t>
        </is>
      </c>
      <c r="L38" s="5" t="inlineStr">
        <is>
          <t>0.9 GTU/т</t>
        </is>
      </c>
      <c r="M38" s="5" t="inlineStr">
        <is>
          <t>144 GTU/операцию</t>
        </is>
      </c>
      <c r="N38" s="5" t="inlineStr">
        <is>
          <t>−</t>
        </is>
      </c>
      <c r="O38" s="5" t="inlineStr">
        <is>
          <t>×4.6 время, +58% расход</t>
        </is>
      </c>
    </row>
    <row r="39">
      <c r="A39" s="4" t="inlineStr">
        <is>
          <t>Пресс</t>
        </is>
      </c>
      <c r="B39" s="5" t="inlineStr">
        <is>
          <t>48</t>
        </is>
      </c>
      <c r="C39" s="5" t="inlineStr">
        <is>
          <t>1 876</t>
        </is>
      </c>
      <c r="D39" s="5" t="inlineStr">
        <is>
          <t>−</t>
        </is>
      </c>
      <c r="E39" s="5" t="inlineStr">
        <is>
          <t>−</t>
        </is>
      </c>
      <c r="F39" s="5" t="inlineStr">
        <is>
          <t>−</t>
        </is>
      </c>
      <c r="G39" s="5" t="inlineStr">
        <is>
          <t>−</t>
        </is>
      </c>
      <c r="H39" s="5" t="inlineStr">
        <is>
          <t>−</t>
        </is>
      </c>
      <c r="I39" s="5" t="inlineStr">
        <is>
          <t>−</t>
        </is>
      </c>
      <c r="J39" s="5" t="inlineStr">
        <is>
          <t>−</t>
        </is>
      </c>
      <c r="K39" s="5" t="inlineStr">
        <is>
          <t>Штамповка: мгновенный ход, КД 140 т (было 60)</t>
        </is>
      </c>
      <c r="L39" s="5" t="inlineStr">
        <is>
          <t>− (разово)</t>
        </is>
      </c>
      <c r="M39" s="5" t="inlineStr">
        <is>
          <t>126 GTU/ход</t>
        </is>
      </c>
      <c r="N39" s="5" t="inlineStr">
        <is>
          <t>≈0.9 GTU/т в среднем</t>
        </is>
      </c>
      <c r="O39" s="5" t="inlineStr">
        <is>
          <t>−</t>
        </is>
      </c>
    </row>
    <row r="40">
      <c r="A40" s="4" t="inlineStr">
        <is>
          <t>Помпа II</t>
        </is>
      </c>
      <c r="B40" s="5" t="inlineStr">
        <is>
          <t>48</t>
        </is>
      </c>
      <c r="C40" s="5" t="inlineStr">
        <is>
          <t>644</t>
        </is>
      </c>
      <c r="D40" s="5" t="inlineStr">
        <is>
          <t>−</t>
        </is>
      </c>
      <c r="E40" s="5" t="inlineStr">
        <is>
          <t>−</t>
        </is>
      </c>
      <c r="F40" s="5" t="inlineStr">
        <is>
          <t>−</t>
        </is>
      </c>
      <c r="G40" s="5" t="inlineStr">
        <is>
          <t>−</t>
        </is>
      </c>
      <c r="H40" s="5" t="inlineStr">
        <is>
          <t>−</t>
        </is>
      </c>
      <c r="I40" s="5" t="inlineStr">
        <is>
          <t>вода 21 000</t>
        </is>
      </c>
      <c r="J40" s="5" t="inlineStr">
        <is>
          <t>вода 396</t>
        </is>
      </c>
      <c r="K40" s="5" t="inlineStr">
        <is>
          <t>Всасывание каждые 4 т</t>
        </is>
      </c>
      <c r="L40" s="5" t="inlineStr">
        <is>
          <t>3.0 GTU/т</t>
        </is>
      </c>
      <c r="M40" s="5" t="inlineStr">
        <is>
          <t>≈3.0 GTU на 1 000 mB</t>
        </is>
      </c>
      <c r="N40" s="5" t="inlineStr">
        <is>
          <t>−</t>
        </is>
      </c>
      <c r="O40" s="5" t="inlineStr">
        <is>
          <t>Слив 396 (было 612)</t>
        </is>
      </c>
    </row>
    <row r="41">
      <c r="A41" s="4" t="inlineStr">
        <is>
          <t>Генератор булыжника II</t>
        </is>
      </c>
      <c r="B41" s="5" t="inlineStr">
        <is>
          <t>48</t>
        </is>
      </c>
      <c r="C41" s="5" t="inlineStr">
        <is>
          <t>644</t>
        </is>
      </c>
      <c r="D41" s="5" t="inlineStr">
        <is>
          <t>−</t>
        </is>
      </c>
      <c r="E41" s="5" t="inlineStr">
        <is>
          <t>−</t>
        </is>
      </c>
      <c r="F41" s="5" t="inlineStr">
        <is>
          <t>−</t>
        </is>
      </c>
      <c r="G41" s="5" t="inlineStr">
        <is>
          <t>−</t>
        </is>
      </c>
      <c r="H41" s="5" t="inlineStr">
        <is>
          <t>вода 368</t>
        </is>
      </c>
      <c r="I41" s="5" t="inlineStr">
        <is>
          <t>вода 9 000</t>
        </is>
      </c>
      <c r="J41" s="5" t="inlineStr">
        <is>
          <t>−</t>
        </is>
      </c>
      <c r="K41" s="5" t="inlineStr">
        <is>
          <t>1 камень: 80 т (было 60)</t>
        </is>
      </c>
      <c r="L41" s="5" t="inlineStr">
        <is>
          <t>1.05 GTU/т + 1 000 mB</t>
        </is>
      </c>
      <c r="M41" s="5" t="inlineStr">
        <is>
          <t>84 GTU + 1 000 mB (как было)</t>
        </is>
      </c>
      <c r="N41" s="5" t="inlineStr">
        <is>
          <t>−</t>
        </is>
      </c>
      <c r="O41" s="5" t="inlineStr">
        <is>
          <t>Время ×1.33, расход прежний</t>
        </is>
      </c>
    </row>
    <row r="42">
      <c r="A42" s="4" t="inlineStr">
        <is>
          <t>Аккумулятор II</t>
        </is>
      </c>
      <c r="B42" s="5" t="inlineStr">
        <is>
          <t>144</t>
        </is>
      </c>
      <c r="C42" s="5" t="inlineStr">
        <is>
          <t>32 608</t>
        </is>
      </c>
      <c r="D42" s="5" t="inlineStr">
        <is>
          <t>122</t>
        </is>
      </c>
      <c r="E42" s="5" t="inlineStr">
        <is>
          <t>−</t>
        </is>
      </c>
      <c r="F42" s="5" t="inlineStr">
        <is>
          <t>−</t>
        </is>
      </c>
      <c r="G42" s="5" t="inlineStr">
        <is>
          <t>−</t>
        </is>
      </c>
      <c r="H42" s="5" t="inlineStr">
        <is>
          <t>−</t>
        </is>
      </c>
      <c r="I42" s="5" t="inlineStr">
        <is>
          <t>−</t>
        </is>
      </c>
      <c r="J42" s="5" t="inlineStr">
        <is>
          <t>−</t>
        </is>
      </c>
      <c r="K42" s="5" t="inlineStr">
        <is>
          <t>Пассивный буфер</t>
        </is>
      </c>
      <c r="L42" s="5" t="inlineStr">
        <is>
          <t>−</t>
        </is>
      </c>
      <c r="M42" s="5" t="inlineStr">
        <is>
          <t>−</t>
        </is>
      </c>
      <c r="N42" s="5" t="inlineStr">
        <is>
          <t>саморазряд 0.01 GTU/т</t>
        </is>
      </c>
      <c r="O42" s="5" t="inlineStr">
        <is>
          <t>Стор −33%, отдача −15%</t>
        </is>
      </c>
    </row>
    <row r="43">
      <c r="A43" s="4" t="inlineStr">
        <is>
          <t>Завод сплавов</t>
        </is>
      </c>
      <c r="B43" s="5" t="inlineStr">
        <is>
          <t>52</t>
        </is>
      </c>
      <c r="C43" s="5" t="inlineStr">
        <is>
          <t>2 202</t>
        </is>
      </c>
      <c r="D43" s="5" t="inlineStr">
        <is>
          <t>−</t>
        </is>
      </c>
      <c r="E43" s="5" t="inlineStr">
        <is>
          <t>−</t>
        </is>
      </c>
      <c r="F43" s="5" t="inlineStr">
        <is>
          <t>−</t>
        </is>
      </c>
      <c r="G43" s="5" t="inlineStr">
        <is>
          <t>−</t>
        </is>
      </c>
      <c r="H43" s="5" t="inlineStr">
        <is>
          <t>−</t>
        </is>
      </c>
      <c r="I43" s="5" t="inlineStr">
        <is>
          <t>−</t>
        </is>
      </c>
      <c r="J43" s="5" t="inlineStr">
        <is>
          <t>−</t>
        </is>
      </c>
      <c r="K43" s="5" t="inlineStr">
        <is>
          <t>Плавка: 80 т + 8 т/ингредиент</t>
        </is>
      </c>
      <c r="L43" s="5" t="inlineStr">
        <is>
          <t>2.8 GTU/т</t>
        </is>
      </c>
      <c r="M43" s="5" t="inlineStr">
        <is>
          <t>224 + 22.4·n GTU</t>
        </is>
      </c>
      <c r="N43" s="5" t="inlineStr">
        <is>
          <t>−</t>
        </is>
      </c>
      <c r="O43" s="5" t="inlineStr">
        <is>
          <t>Операция не тронута</t>
        </is>
      </c>
    </row>
    <row r="44" ht="18" customHeight="1">
      <c r="A44" s="8" t="inlineStr">
        <is>
          <t>ЛОГИСТИКА ТИР 2</t>
        </is>
      </c>
    </row>
    <row r="45">
      <c r="A45" s="4" t="inlineStr">
        <is>
          <t>Провод (T2)</t>
        </is>
      </c>
      <c r="B45" s="5" t="inlineStr">
        <is>
          <t>89 (сеть)</t>
        </is>
      </c>
      <c r="C45" s="5" t="inlineStr">
        <is>
          <t>−</t>
        </is>
      </c>
      <c r="D45" s="5" t="inlineStr">
        <is>
          <t>89</t>
        </is>
      </c>
      <c r="E45" s="5" t="inlineStr">
        <is>
          <t>−</t>
        </is>
      </c>
      <c r="F45" s="5" t="inlineStr">
        <is>
          <t>−</t>
        </is>
      </c>
      <c r="G45" s="5" t="inlineStr">
        <is>
          <t>−</t>
        </is>
      </c>
      <c r="H45" s="5" t="inlineStr">
        <is>
          <t>−</t>
        </is>
      </c>
      <c r="I45" s="5" t="inlineStr">
        <is>
          <t>−</t>
        </is>
      </c>
      <c r="J45" s="5" t="inlineStr">
        <is>
          <t>−</t>
        </is>
      </c>
      <c r="K45" s="5" t="inlineStr">
        <is>
          <t>GTU</t>
        </is>
      </c>
      <c r="L45" s="5" t="inlineStr">
        <is>
          <t>−</t>
        </is>
      </c>
      <c r="M45" s="5" t="inlineStr">
        <is>
          <t>−</t>
        </is>
      </c>
      <c r="N45" s="5" t="inlineStr">
        <is>
          <t>потеря 0.09 GTU/блок</t>
        </is>
      </c>
      <c r="O45" s="5" t="inlineStr">
        <is>
          <t>было 96</t>
        </is>
      </c>
    </row>
    <row r="46">
      <c r="A46" s="4" t="inlineStr">
        <is>
          <t>Теплотруба (T2)</t>
        </is>
      </c>
      <c r="B46" s="5" t="inlineStr">
        <is>
          <t>−</t>
        </is>
      </c>
      <c r="C46" s="5" t="inlineStr">
        <is>
          <t>−</t>
        </is>
      </c>
      <c r="D46" s="5" t="inlineStr">
        <is>
          <t>−</t>
        </is>
      </c>
      <c r="E46" s="5" t="inlineStr">
        <is>
          <t>562 (сеть)</t>
        </is>
      </c>
      <c r="F46" s="5" t="inlineStr">
        <is>
          <t>−</t>
        </is>
      </c>
      <c r="G46" s="5" t="inlineStr">
        <is>
          <t>562</t>
        </is>
      </c>
      <c r="H46" s="5" t="inlineStr">
        <is>
          <t>−</t>
        </is>
      </c>
      <c r="I46" s="5" t="inlineStr">
        <is>
          <t>−</t>
        </is>
      </c>
      <c r="J46" s="5" t="inlineStr">
        <is>
          <t>−</t>
        </is>
      </c>
      <c r="K46" s="5" t="inlineStr">
        <is>
          <t>GTH</t>
        </is>
      </c>
      <c r="L46" s="5" t="inlineStr">
        <is>
          <t>−</t>
        </is>
      </c>
      <c r="M46" s="5" t="inlineStr">
        <is>
          <t>−</t>
        </is>
      </c>
      <c r="N46" s="5" t="inlineStr">
        <is>
          <t>потеря 0.18 GTH/блок</t>
        </is>
      </c>
      <c r="O46" s="5" t="inlineStr">
        <is>
          <t>было 696</t>
        </is>
      </c>
    </row>
    <row r="47">
      <c r="A47" s="4" t="inlineStr">
        <is>
          <t>Водная / паровая труба (T2)</t>
        </is>
      </c>
      <c r="B47" s="5" t="inlineStr">
        <is>
          <t>−</t>
        </is>
      </c>
      <c r="C47" s="5" t="inlineStr">
        <is>
          <t>−</t>
        </is>
      </c>
      <c r="D47" s="5" t="inlineStr">
        <is>
          <t>−</t>
        </is>
      </c>
      <c r="E47" s="5" t="inlineStr">
        <is>
          <t>−</t>
        </is>
      </c>
      <c r="F47" s="5" t="inlineStr">
        <is>
          <t>−</t>
        </is>
      </c>
      <c r="G47" s="5" t="inlineStr">
        <is>
          <t>−</t>
        </is>
      </c>
      <c r="H47" s="5" t="inlineStr">
        <is>
          <t>852</t>
        </is>
      </c>
      <c r="I47" s="5" t="inlineStr">
        <is>
          <t>−</t>
        </is>
      </c>
      <c r="J47" s="5" t="inlineStr">
        <is>
          <t>852</t>
        </is>
      </c>
      <c r="K47" s="5" t="inlineStr">
        <is>
          <t>Вода / пар</t>
        </is>
      </c>
      <c r="L47" s="5" t="inlineStr">
        <is>
          <t>−</t>
        </is>
      </c>
      <c r="M47" s="5" t="inlineStr">
        <is>
          <t>−</t>
        </is>
      </c>
      <c r="N47" s="5" t="inlineStr">
        <is>
          <t>−</t>
        </is>
      </c>
      <c r="O47" s="5" t="inlineStr">
        <is>
          <t>было 1 900</t>
        </is>
      </c>
    </row>
    <row r="48">
      <c r="A48" s="4" t="inlineStr">
        <is>
          <t>Предметная труба (T2)</t>
        </is>
      </c>
      <c r="B48" s="5" t="inlineStr">
        <is>
          <t>−</t>
        </is>
      </c>
      <c r="C48" s="5" t="inlineStr">
        <is>
          <t>−</t>
        </is>
      </c>
      <c r="D48" s="5" t="inlineStr">
        <is>
          <t>−</t>
        </is>
      </c>
      <c r="E48" s="5" t="inlineStr">
        <is>
          <t>−</t>
        </is>
      </c>
      <c r="F48" s="5" t="inlineStr">
        <is>
          <t>−</t>
        </is>
      </c>
      <c r="G48" s="5" t="inlineStr">
        <is>
          <t>−</t>
        </is>
      </c>
      <c r="H48" s="5" t="inlineStr">
        <is>
          <t>−</t>
        </is>
      </c>
      <c r="I48" s="5" t="inlineStr">
        <is>
          <t>−</t>
        </is>
      </c>
      <c r="J48" s="5" t="inlineStr">
        <is>
          <t>−</t>
        </is>
      </c>
      <c r="K48" s="5" t="inlineStr">
        <is>
          <t>Предметы: 10 шт/т</t>
        </is>
      </c>
      <c r="L48" s="5" t="inlineStr">
        <is>
          <t>−</t>
        </is>
      </c>
      <c r="M48" s="5" t="inlineStr">
        <is>
          <t>−</t>
        </is>
      </c>
      <c r="N48" s="5" t="inlineStr">
        <is>
          <t>−</t>
        </is>
      </c>
      <c r="O48" s="5" t="inlineStr">
        <is>
          <t>не тронута; 2 шт/т на вид</t>
        </is>
      </c>
    </row>
    <row r="49">
      <c r="A49" s="4" t="inlineStr">
        <is>
          <t>Универсальная жидкостная труба (T2)</t>
        </is>
      </c>
      <c r="B49" s="5" t="inlineStr">
        <is>
          <t>−</t>
        </is>
      </c>
      <c r="C49" s="5" t="inlineStr">
        <is>
          <t>−</t>
        </is>
      </c>
      <c r="D49" s="5" t="inlineStr">
        <is>
          <t>−</t>
        </is>
      </c>
      <c r="E49" s="5" t="inlineStr">
        <is>
          <t>−</t>
        </is>
      </c>
      <c r="F49" s="5" t="inlineStr">
        <is>
          <t>−</t>
        </is>
      </c>
      <c r="G49" s="5" t="inlineStr">
        <is>
          <t>−</t>
        </is>
      </c>
      <c r="H49" s="5" t="inlineStr">
        <is>
          <t>682 (сумма)</t>
        </is>
      </c>
      <c r="I49" s="5" t="inlineStr">
        <is>
          <t>−</t>
        </is>
      </c>
      <c r="J49" s="5" t="inlineStr">
        <is>
          <t>682 (сумма)</t>
        </is>
      </c>
      <c r="K49" s="5" t="inlineStr">
        <is>
          <t>Вода + пар</t>
        </is>
      </c>
      <c r="L49" s="5" t="inlineStr">
        <is>
          <t>−</t>
        </is>
      </c>
      <c r="M49" s="5" t="inlineStr">
        <is>
          <t>−</t>
        </is>
      </c>
      <c r="N49" s="5" t="inlineStr">
        <is>
          <t>−</t>
        </is>
      </c>
      <c r="O49" s="5" t="inlineStr">
        <is>
          <t>было 1 500</t>
        </is>
      </c>
    </row>
    <row r="50">
      <c r="A50" s="4" t="inlineStr">
        <is>
          <t>Универсальный узел (T2)</t>
        </is>
      </c>
      <c r="B50" s="5" t="inlineStr">
        <is>
          <t>×0.91</t>
        </is>
      </c>
      <c r="C50" s="5" t="inlineStr">
        <is>
          <t>−</t>
        </is>
      </c>
      <c r="D50" s="5" t="inlineStr">
        <is>
          <t>×0.91</t>
        </is>
      </c>
      <c r="E50" s="5" t="inlineStr">
        <is>
          <t>×0.91</t>
        </is>
      </c>
      <c r="F50" s="5" t="inlineStr">
        <is>
          <t>−</t>
        </is>
      </c>
      <c r="G50" s="5" t="inlineStr">
        <is>
          <t>×0.91</t>
        </is>
      </c>
      <c r="H50" s="5" t="inlineStr">
        <is>
          <t>×0.91</t>
        </is>
      </c>
      <c r="I50" s="5" t="inlineStr">
        <is>
          <t>−</t>
        </is>
      </c>
      <c r="J50" s="5" t="inlineStr">
        <is>
          <t>×0.91</t>
        </is>
      </c>
      <c r="K50" s="5" t="inlineStr">
        <is>
          <t>Любые сети</t>
        </is>
      </c>
      <c r="L50" s="5" t="inlineStr">
        <is>
          <t>−</t>
        </is>
      </c>
      <c r="M50" s="5" t="inlineStr">
        <is>
          <t>−</t>
        </is>
      </c>
      <c r="N50" s="5" t="inlineStr">
        <is>
          <t>−</t>
        </is>
      </c>
      <c r="O50" s="5" t="inlineStr">
        <is>
          <t>0.3.64: ×0.9→×0.91 от новых значений</t>
        </is>
      </c>
    </row>
    <row r="51" ht="18" customHeight="1">
      <c r="A51" s="10" t="inlineStr">
        <is>
          <t>ТИР 3 — ЯДЕРНОЕ</t>
        </is>
      </c>
    </row>
    <row r="52">
      <c r="A52" s="4" t="inlineStr">
        <is>
          <t>Ядерная топка</t>
        </is>
      </c>
      <c r="B52" s="5" t="inlineStr">
        <is>
          <t>−</t>
        </is>
      </c>
      <c r="C52" s="5" t="inlineStr">
        <is>
          <t>−</t>
        </is>
      </c>
      <c r="D52" s="5" t="inlineStr">
        <is>
          <t>−</t>
        </is>
      </c>
      <c r="E52" s="5" t="inlineStr">
        <is>
          <t>−</t>
        </is>
      </c>
      <c r="F52" s="5" t="inlineStr">
        <is>
          <t>68 408</t>
        </is>
      </c>
      <c r="G52" s="5" t="inlineStr">
        <is>
          <t>282</t>
        </is>
      </c>
      <c r="H52" s="5" t="inlineStr">
        <is>
          <t>−</t>
        </is>
      </c>
      <c r="I52" s="5" t="inlineStr">
        <is>
          <t>−</t>
        </is>
      </c>
      <c r="J52" s="5" t="inlineStr">
        <is>
          <t>−</t>
        </is>
      </c>
      <c r="K52" s="5" t="inlineStr">
        <is>
          <t>Горение: 116 GTH/т (было 262) пока горит топливо</t>
        </is>
      </c>
      <c r="L52" s="5" t="inlineStr">
        <is>
          <t>116 GTH/т</t>
        </is>
      </c>
      <c r="M52" s="5" t="inlineStr">
        <is>
          <t>U слиток: 900 с = 2 088 GTH; брусок 8 100 с = 18 792 GTH</t>
        </is>
      </c>
      <c r="N52" s="5" t="inlineStr">
        <is>
          <t>−25% времени горения при полном буфере</t>
        </is>
      </c>
      <c r="O52" s="5" t="inlineStr">
        <is>
          <t>&gt;50 000 — поджог, &gt;64 000 — кориум 3×3. Торий 300/35/2 700 с; уранит 500 с; торианит 175 с (времена не тронуты)</t>
        </is>
      </c>
    </row>
    <row r="53">
      <c r="A53" s="4" t="inlineStr">
        <is>
          <t>Вольфрамовый поглотитель</t>
        </is>
      </c>
      <c r="B53" s="5" t="inlineStr">
        <is>
          <t>−</t>
        </is>
      </c>
      <c r="C53" s="5" t="inlineStr">
        <is>
          <t>−</t>
        </is>
      </c>
      <c r="D53" s="5" t="inlineStr">
        <is>
          <t>−</t>
        </is>
      </c>
      <c r="E53" s="5" t="inlineStr">
        <is>
          <t>488</t>
        </is>
      </c>
      <c r="F53" s="5" t="inlineStr">
        <is>
          <t>112 000</t>
        </is>
      </c>
      <c r="G53" s="5" t="inlineStr">
        <is>
          <t>−</t>
        </is>
      </c>
      <c r="H53" s="5" t="inlineStr">
        <is>
          <t>−</t>
        </is>
      </c>
      <c r="I53" s="5" t="inlineStr">
        <is>
          <t>−</t>
        </is>
      </c>
      <c r="J53" s="5" t="inlineStr">
        <is>
          <t>−</t>
        </is>
      </c>
      <c r="K53" s="5" t="inlineStr">
        <is>
          <t>Пассивное рассеивание</t>
        </is>
      </c>
      <c r="L53" s="5" t="inlineStr">
        <is>
          <t>−</t>
        </is>
      </c>
      <c r="M53" s="5" t="inlineStr">
        <is>
          <t>−</t>
        </is>
      </c>
      <c r="N53" s="5" t="inlineStr">
        <is>
          <t>−66 GTH/т + 32 GTH/т за сверхплотный лёд</t>
        </is>
      </c>
      <c r="O53" s="5" t="inlineStr">
        <is>
          <t>Не тронут (приём 488 &gt; отдача топки 282 — течёт с запасом)</t>
        </is>
      </c>
    </row>
    <row r="54" ht="18" customHeight="1">
      <c r="A54" s="11" t="inlineStr">
        <is>
          <t>ТИР 3 — ЧИСТАЯ КОМНАТА</t>
        </is>
      </c>
    </row>
    <row r="55">
      <c r="A55" s="4" t="inlineStr">
        <is>
          <t>Литограф (Si-фабрика)</t>
        </is>
      </c>
      <c r="B55" s="5" t="inlineStr">
        <is>
          <t>96</t>
        </is>
      </c>
      <c r="C55" s="5" t="inlineStr">
        <is>
          <t>6 204</t>
        </is>
      </c>
      <c r="D55" s="5" t="inlineStr">
        <is>
          <t>−</t>
        </is>
      </c>
      <c r="E55" s="5" t="inlineStr">
        <is>
          <t>−</t>
        </is>
      </c>
      <c r="F55" s="5" t="inlineStr">
        <is>
          <t>−</t>
        </is>
      </c>
      <c r="G55" s="5" t="inlineStr">
        <is>
          <t>−</t>
        </is>
      </c>
      <c r="H55" s="5" t="inlineStr">
        <is>
          <t>−</t>
        </is>
      </c>
      <c r="I55" s="5" t="inlineStr">
        <is>
          <t>−</t>
        </is>
      </c>
      <c r="J55" s="5" t="inlineStr">
        <is>
          <t>−</t>
        </is>
      </c>
      <c r="K55" s="5" t="inlineStr">
        <is>
          <t>3 шага: травление 180 т → фотолитография 320 т → вулканизация 90 т</t>
        </is>
      </c>
      <c r="L55" s="5" t="inlineStr">
        <is>
          <t>3.8 GTU/т (+ спайк 28 GTU каждые 9 т на фотолитографии)</t>
        </is>
      </c>
      <c r="M55" s="5" t="inlineStr">
        <is>
          <t>травление 684; фотолит. ≈2 196; вулк. 342 GTU</t>
        </is>
      </c>
      <c r="N55" s="5" t="inlineStr">
        <is>
          <t>−</t>
        </is>
      </c>
      <c r="O55" s="5" t="inlineStr">
        <is>
          <t>0.3.64: приём 96 (было 161), стор 6 204 (было 29 086)</t>
        </is>
      </c>
    </row>
    <row r="56">
      <c r="A56" s="4" t="inlineStr">
        <is>
          <t>Фильтр воздуха</t>
        </is>
      </c>
      <c r="B56" s="5" t="inlineStr">
        <is>
          <t>52</t>
        </is>
      </c>
      <c r="C56" s="5" t="inlineStr">
        <is>
          <t>2 202</t>
        </is>
      </c>
      <c r="D56" s="5" t="inlineStr">
        <is>
          <t>−</t>
        </is>
      </c>
      <c r="E56" s="5" t="inlineStr">
        <is>
          <t>−</t>
        </is>
      </c>
      <c r="F56" s="5" t="inlineStr">
        <is>
          <t>−</t>
        </is>
      </c>
      <c r="G56" s="5" t="inlineStr">
        <is>
          <t>−</t>
        </is>
      </c>
      <c r="H56" s="5" t="inlineStr">
        <is>
          <t>−</t>
        </is>
      </c>
      <c r="I56" s="5" t="inlineStr">
        <is>
          <t>−</t>
        </is>
      </c>
      <c r="J56" s="5" t="inlineStr">
        <is>
          <t>−</t>
        </is>
      </c>
      <c r="K56" s="5" t="inlineStr">
        <is>
          <t>Очистка комнаты: непрерывно</t>
        </is>
      </c>
      <c r="L56" s="5" t="inlineStr">
        <is>
          <t>2.6 GTU/т (работа); утечка 0.019 GTU/т</t>
        </is>
      </c>
      <c r="M56" s="5" t="inlineStr">
        <is>
          <t>−</t>
        </is>
      </c>
      <c r="N56" s="5" t="inlineStr">
        <is>
          <t>+0.01%/т качества</t>
        </is>
      </c>
      <c r="O56" s="5" t="inlineStr">
        <is>
          <t>0.3.64: приём 52 (было 32 — бафф), стор 2 202</t>
        </is>
      </c>
    </row>
    <row r="57">
      <c r="A57" s="4" t="inlineStr">
        <is>
          <t>Очиститель воздуха</t>
        </is>
      </c>
      <c r="B57" s="5" t="inlineStr">
        <is>
          <t>−</t>
        </is>
      </c>
      <c r="C57" s="5" t="inlineStr">
        <is>
          <t>−</t>
        </is>
      </c>
      <c r="D57" s="5" t="inlineStr">
        <is>
          <t>−</t>
        </is>
      </c>
      <c r="E57" s="5" t="inlineStr">
        <is>
          <t>−</t>
        </is>
      </c>
      <c r="F57" s="5" t="inlineStr">
        <is>
          <t>−</t>
        </is>
      </c>
      <c r="G57" s="5" t="inlineStr">
        <is>
          <t>−</t>
        </is>
      </c>
      <c r="H57" s="5" t="inlineStr">
        <is>
          <t>−</t>
        </is>
      </c>
      <c r="I57" s="5" t="inlineStr">
        <is>
          <t>−</t>
        </is>
      </c>
      <c r="J57" s="5" t="inlineStr">
        <is>
          <t>−</t>
        </is>
      </c>
      <c r="K57" s="5" t="inlineStr">
        <is>
          <t>Поток чистоты: импульс 8 с по фронту редстоуна</t>
        </is>
      </c>
      <c r="L57" s="5" t="inlineStr">
        <is>
          <t>−</t>
        </is>
      </c>
      <c r="M57" s="5" t="inlineStr">
        <is>
          <t>−</t>
        </is>
      </c>
      <c r="N57" s="5" t="inlineStr">
        <is>
          <t>−11.5 грязи/с в потоке</t>
        </is>
      </c>
      <c r="O57" s="5" t="inlineStr">
        <is>
          <t>Не тронут</t>
        </is>
      </c>
    </row>
    <row r="58" ht="18" customHeight="1">
      <c r="A58" s="12" t="inlineStr">
        <is>
          <t>АДМИНСКИЕ / ТЕСТОВЫЕ</t>
        </is>
      </c>
    </row>
    <row r="59">
      <c r="A59" s="4" t="inlineStr">
        <is>
          <t>Сингулярный источник энергии</t>
        </is>
      </c>
      <c r="B59" s="5" t="inlineStr">
        <is>
          <t>−</t>
        </is>
      </c>
      <c r="C59" s="5" t="inlineStr">
        <is>
          <t>− (виртуальный бюджет)</t>
        </is>
      </c>
      <c r="D59" s="5" t="inlineStr">
        <is>
          <t>100 000 (потолок)</t>
        </is>
      </c>
      <c r="E59" s="5" t="inlineStr">
        <is>
          <t>−</t>
        </is>
      </c>
      <c r="F59" s="5" t="inlineStr">
        <is>
          <t>−</t>
        </is>
      </c>
      <c r="G59" s="5" t="inlineStr">
        <is>
          <t>−</t>
        </is>
      </c>
      <c r="H59" s="5" t="inlineStr">
        <is>
          <t>−</t>
        </is>
      </c>
      <c r="I59" s="5" t="inlineStr">
        <is>
          <t>−</t>
        </is>
      </c>
      <c r="J59" s="5" t="inlineStr">
        <is>
          <t>−</t>
        </is>
      </c>
      <c r="K59" s="5" t="inlineStr">
        <is>
          <t>Предлагает поток напрямую в маршруты</t>
        </is>
      </c>
      <c r="L59" s="5" t="inlineStr">
        <is>
          <t>−</t>
        </is>
      </c>
      <c r="M59" s="5" t="inlineStr">
        <is>
          <t>−</t>
        </is>
      </c>
      <c r="N59" s="5" t="inlineStr">
        <is>
          <t>Реальный поток режет провод/приёмник</t>
        </is>
      </c>
      <c r="O59" s="5" t="inlineStr">
        <is>
          <t>Не тронут</t>
        </is>
      </c>
    </row>
    <row r="60">
      <c r="A60" s="4" t="inlineStr">
        <is>
          <t>Сингулярный источник тепла</t>
        </is>
      </c>
      <c r="B60" s="5" t="inlineStr">
        <is>
          <t>−</t>
        </is>
      </c>
      <c r="C60" s="5" t="inlineStr">
        <is>
          <t>−</t>
        </is>
      </c>
      <c r="D60" s="5" t="inlineStr">
        <is>
          <t>−</t>
        </is>
      </c>
      <c r="E60" s="5" t="inlineStr">
        <is>
          <t>−</t>
        </is>
      </c>
      <c r="F60" s="5" t="inlineStr">
        <is>
          <t>−</t>
        </is>
      </c>
      <c r="G60" s="5" t="inlineStr">
        <is>
          <t>100 000 (потолок)</t>
        </is>
      </c>
      <c r="H60" s="5" t="inlineStr">
        <is>
          <t>−</t>
        </is>
      </c>
      <c r="I60" s="5" t="inlineStr">
        <is>
          <t>−</t>
        </is>
      </c>
      <c r="J60" s="5" t="inlineStr">
        <is>
          <t>−</t>
        </is>
      </c>
      <c r="K60" s="5" t="inlineStr">
        <is>
          <t>Предлагает поток напрямую</t>
        </is>
      </c>
      <c r="L60" s="5" t="inlineStr">
        <is>
          <t>−</t>
        </is>
      </c>
      <c r="M60" s="5" t="inlineStr">
        <is>
          <t>−</t>
        </is>
      </c>
      <c r="N60" s="5" t="inlineStr">
        <is>
          <t>−</t>
        </is>
      </c>
      <c r="O60" s="5" t="inlineStr">
        <is>
          <t>Не тронут</t>
        </is>
      </c>
    </row>
  </sheetData>
  <mergeCells count="18">
    <mergeCell ref="H1:J1"/>
    <mergeCell ref="A15:O15"/>
    <mergeCell ref="A3:O3"/>
    <mergeCell ref="M1:M2"/>
    <mergeCell ref="A24:O24"/>
    <mergeCell ref="A54:O54"/>
    <mergeCell ref="A51:O51"/>
    <mergeCell ref="B1:D1"/>
    <mergeCell ref="A36:O36"/>
    <mergeCell ref="A44:O44"/>
    <mergeCell ref="A27:O27"/>
    <mergeCell ref="A58:O58"/>
    <mergeCell ref="K1:K2"/>
    <mergeCell ref="L1:L2"/>
    <mergeCell ref="O1:O2"/>
    <mergeCell ref="N1:N2"/>
    <mergeCell ref="E1:G1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42" customWidth="1" min="3" max="3"/>
    <col width="46" customWidth="1" min="4" max="4"/>
  </cols>
  <sheetData>
    <row r="1">
      <c r="A1" s="1" t="inlineStr">
        <is>
          <t>Объект</t>
        </is>
      </c>
      <c r="B1" s="1" t="inlineStr">
        <is>
          <t>Параметр</t>
        </is>
      </c>
      <c r="C1" s="1" t="inlineStr">
        <is>
          <t>Было</t>
        </is>
      </c>
      <c r="D1" s="1" t="inlineStr">
        <is>
          <t>Стало</t>
        </is>
      </c>
    </row>
    <row r="2">
      <c r="A2" s="13" t="inlineStr">
        <is>
          <t>Пароген 5×5×5</t>
        </is>
      </c>
      <c r="B2" s="13" t="inlineStr">
        <is>
          <t>Вода на цикл</t>
        </is>
      </c>
      <c r="C2" s="13" t="inlineStr">
        <is>
          <t>15 mB</t>
        </is>
      </c>
      <c r="D2" s="13" t="inlineStr">
        <is>
          <t>16 mB</t>
        </is>
      </c>
    </row>
    <row r="3">
      <c r="A3" s="13" t="inlineStr">
        <is>
          <t>Пароген 5×5×5</t>
        </is>
      </c>
      <c r="B3" s="13" t="inlineStr">
        <is>
          <t>GTH на цикл</t>
        </is>
      </c>
      <c r="C3" s="13" t="inlineStr">
        <is>
          <t>11 GTH</t>
        </is>
      </c>
      <c r="D3" s="13" t="inlineStr">
        <is>
          <t>12 GTH</t>
        </is>
      </c>
    </row>
    <row r="4">
      <c r="A4" s="13" t="inlineStr">
        <is>
          <t>Пароген 5×5×5</t>
        </is>
      </c>
      <c r="B4" s="13" t="inlineStr">
        <is>
          <t>E теплообменников</t>
        </is>
      </c>
      <c r="C4" s="13" t="inlineStr">
        <is>
          <t>(C+H)/200</t>
        </is>
      </c>
      <c r="D4" s="13" t="inlineStr">
        <is>
          <t>(C+H)/200 × 0.93 (−7%)</t>
        </is>
      </c>
    </row>
    <row r="5">
      <c r="A5" s="13" t="inlineStr">
        <is>
          <t>Топка</t>
        </is>
      </c>
      <c r="B5" s="13" t="inlineStr">
        <is>
          <t>стор GTH</t>
        </is>
      </c>
      <c r="C5" s="13" t="inlineStr">
        <is>
          <t>24 000</t>
        </is>
      </c>
      <c r="D5" s="13" t="inlineStr">
        <is>
          <t>16 004</t>
        </is>
      </c>
    </row>
    <row r="6">
      <c r="A6" s="13" t="inlineStr">
        <is>
          <t>Котёл</t>
        </is>
      </c>
      <c r="B6" s="13" t="inlineStr">
        <is>
          <t>стор GTH / приём GTH/t</t>
        </is>
      </c>
      <c r="C6" s="13" t="inlineStr">
        <is>
          <t>24 000 / 64</t>
        </is>
      </c>
      <c r="D6" s="13" t="inlineStr">
        <is>
          <t>16 004 / 58</t>
        </is>
      </c>
    </row>
    <row r="7">
      <c r="A7" s="13" t="inlineStr">
        <is>
          <t>Котёл</t>
        </is>
      </c>
      <c r="B7" s="13" t="inlineStr">
        <is>
          <t>приём воды / стор воды / стор пара / отдача пара</t>
        </is>
      </c>
      <c r="C7" s="13" t="inlineStr">
        <is>
          <t>80 / 12 000 / 12 000 / 80</t>
        </is>
      </c>
      <c r="D7" s="13" t="inlineStr">
        <is>
          <t>82 / 8 000 / 8 000 / 82</t>
        </is>
      </c>
    </row>
    <row r="8">
      <c r="A8" s="13" t="inlineStr">
        <is>
          <t>Стирлинг</t>
        </is>
      </c>
      <c r="B8" s="13" t="inlineStr">
        <is>
          <t>стор GTU / отдача GTU/t / стор пара</t>
        </is>
      </c>
      <c r="C8" s="13" t="inlineStr">
        <is>
          <t>120 / 40 / 12 000</t>
        </is>
      </c>
      <c r="D8" s="13" t="inlineStr">
        <is>
          <t>122 / 32 / 6 000</t>
        </is>
      </c>
    </row>
    <row r="9">
      <c r="A9" s="13" t="inlineStr">
        <is>
          <t>Электропечь</t>
        </is>
      </c>
      <c r="B9" s="13" t="inlineStr">
        <is>
          <t>приём / стор GTU</t>
        </is>
      </c>
      <c r="C9" s="13" t="inlineStr">
        <is>
          <t>64 / 4 800</t>
        </is>
      </c>
      <c r="D9" s="13" t="inlineStr">
        <is>
          <t>24 / 3 648</t>
        </is>
      </c>
    </row>
    <row r="10">
      <c r="A10" s="13" t="inlineStr">
        <is>
          <t>Аккумулятор</t>
        </is>
      </c>
      <c r="B10" s="13" t="inlineStr">
        <is>
          <t>приём / отдача GTU/t</t>
        </is>
      </c>
      <c r="C10" s="13" t="inlineStr">
        <is>
          <t>64 / 64</t>
        </is>
      </c>
      <c r="D10" s="13" t="inlineStr">
        <is>
          <t>32 / 32</t>
        </is>
      </c>
    </row>
    <row r="11">
      <c r="A11" s="13" t="inlineStr">
        <is>
          <t>Помпа</t>
        </is>
      </c>
      <c r="B11" s="13" t="inlineStr">
        <is>
          <t>приём / стор GTU</t>
        </is>
      </c>
      <c r="C11" s="13" t="inlineStr">
        <is>
          <t>64 / 1 200</t>
        </is>
      </c>
      <c r="D11" s="13" t="inlineStr">
        <is>
          <t>24 / 362</t>
        </is>
      </c>
    </row>
    <row r="12">
      <c r="A12" s="13" t="inlineStr">
        <is>
          <t>Генератор булыжника</t>
        </is>
      </c>
      <c r="B12" s="13" t="inlineStr">
        <is>
          <t>приём / стор GTU</t>
        </is>
      </c>
      <c r="C12" s="13" t="inlineStr">
        <is>
          <t>64 / 140</t>
        </is>
      </c>
      <c r="D12" s="13" t="inlineStr">
        <is>
          <t>24 / 362</t>
        </is>
      </c>
    </row>
    <row r="13">
      <c r="A13" s="13" t="inlineStr">
        <is>
          <t>Теплотруба T1</t>
        </is>
      </c>
      <c r="B13" s="13" t="inlineStr">
        <is>
          <t>проводимость GTH/t</t>
        </is>
      </c>
      <c r="C13" s="13" t="inlineStr">
        <is>
          <t>388</t>
        </is>
      </c>
      <c r="D13" s="13" t="inlineStr">
        <is>
          <t>256</t>
        </is>
      </c>
    </row>
    <row r="14">
      <c r="A14" s="13" t="inlineStr">
        <is>
          <t>Жидкостные трубы T1</t>
        </is>
      </c>
      <c r="B14" s="13" t="inlineStr">
        <is>
          <t>проводимость mB/t</t>
        </is>
      </c>
      <c r="C14" s="13" t="inlineStr">
        <is>
          <t>1 000</t>
        </is>
      </c>
      <c r="D14" s="13" t="inlineStr">
        <is>
          <t>392</t>
        </is>
      </c>
    </row>
    <row r="15">
      <c r="A15" s="13" t="inlineStr">
        <is>
          <t>Универсальная жидкостная T1</t>
        </is>
      </c>
      <c r="B15" s="13" t="inlineStr">
        <is>
          <t>сумма mB/t</t>
        </is>
      </c>
      <c r="C15" s="13" t="inlineStr">
        <is>
          <t>800</t>
        </is>
      </c>
      <c r="D15" s="13" t="inlineStr">
        <is>
          <t>316</t>
        </is>
      </c>
    </row>
    <row r="16">
      <c r="A16" s="13" t="inlineStr">
        <is>
          <t>Универсальный узел T1</t>
        </is>
      </c>
      <c r="B16" s="13" t="inlineStr">
        <is>
          <t>фактор</t>
        </is>
      </c>
      <c r="C16" s="13" t="inlineStr">
        <is>
          <t>×0.9 (от старых)</t>
        </is>
      </c>
      <c r="D16" s="13" t="inlineStr">
        <is>
          <t>×0.9 (от новых)</t>
        </is>
      </c>
    </row>
    <row r="17">
      <c r="A17" s="13" t="inlineStr">
        <is>
          <t>Дробилка</t>
        </is>
      </c>
      <c r="B17" s="13" t="inlineStr">
        <is>
          <t>приём / стор GTU</t>
        </is>
      </c>
      <c r="C17" s="13" t="inlineStr">
        <is>
          <t>214 / 16 080</t>
        </is>
      </c>
      <c r="D17" s="13" t="inlineStr">
        <is>
          <t>48 / 5 202</t>
        </is>
      </c>
    </row>
    <row r="18">
      <c r="A18" s="13" t="inlineStr">
        <is>
          <t>Дробилка</t>
        </is>
      </c>
      <c r="B18" s="13" t="inlineStr">
        <is>
          <t>длительность / расход</t>
        </is>
      </c>
      <c r="C18" s="13" t="inlineStr">
        <is>
          <t>100→80 т / 4.0→5.5 GTU/t (400–440)</t>
        </is>
      </c>
      <c r="D18" s="13" t="inlineStr">
        <is>
          <t>410→280 т / 0.976→1.571 GTU/t (400–440 — те же)</t>
        </is>
      </c>
    </row>
    <row r="19">
      <c r="A19" s="13" t="inlineStr">
        <is>
          <t>Центрифуга</t>
        </is>
      </c>
      <c r="B19" s="13" t="inlineStr">
        <is>
          <t>приём / стор GTU</t>
        </is>
      </c>
      <c r="C19" s="13" t="inlineStr">
        <is>
          <t>192 / 24 060</t>
        </is>
      </c>
      <c r="D19" s="13" t="inlineStr">
        <is>
          <t>52 / 2 202</t>
        </is>
      </c>
    </row>
    <row r="20">
      <c r="A20" s="13" t="inlineStr">
        <is>
          <t>Центрифуга</t>
        </is>
      </c>
      <c r="B20" s="13" t="inlineStr">
        <is>
          <t>приём вода/пар/кипяток</t>
        </is>
      </c>
      <c r="C20" s="13" t="inlineStr">
        <is>
          <t>1 000 / 1 000</t>
        </is>
      </c>
      <c r="D20" s="13" t="inlineStr">
        <is>
          <t>256 / 256</t>
        </is>
      </c>
    </row>
    <row r="21">
      <c r="A21" s="13" t="inlineStr">
        <is>
          <t>Центрифуга</t>
        </is>
      </c>
      <c r="B21" s="13" t="inlineStr">
        <is>
          <t>стор кипятка / скрытая вода / промывка</t>
        </is>
      </c>
      <c r="C21" s="13" t="inlineStr">
        <is>
          <t>12 000 / 12 000 / 240 т</t>
        </is>
      </c>
      <c r="D21" s="13" t="inlineStr">
        <is>
          <t>8 000 / 6 000 / 310 т (366 GTU — те же)</t>
        </is>
      </c>
    </row>
    <row r="22">
      <c r="A22" s="13" t="inlineStr">
        <is>
          <t>Электропечь II</t>
        </is>
      </c>
      <c r="B22" s="13" t="inlineStr">
        <is>
          <t>приём / стор GTU</t>
        </is>
      </c>
      <c r="C22" s="13" t="inlineStr">
        <is>
          <t>64 (общий с T1) / 8 400</t>
        </is>
      </c>
      <c r="D22" s="13" t="inlineStr">
        <is>
          <t>48 (свой) / 5 202</t>
        </is>
      </c>
    </row>
    <row r="23">
      <c r="A23" s="13" t="inlineStr">
        <is>
          <t>Измельчитель</t>
        </is>
      </c>
      <c r="B23" s="13" t="inlineStr">
        <is>
          <t>приём / стор / операция</t>
        </is>
      </c>
      <c r="C23" s="13" t="inlineStr">
        <is>
          <t>96 / 96 / 35 т × 2.6 = 91 GTU</t>
        </is>
      </c>
      <c r="D23" s="13" t="inlineStr">
        <is>
          <t>48 / 644 / 160 т × 0.9 = 144 GTU</t>
        </is>
      </c>
    </row>
    <row r="24">
      <c r="A24" s="13" t="inlineStr">
        <is>
          <t>Пресс</t>
        </is>
      </c>
      <c r="B24" s="13" t="inlineStr">
        <is>
          <t>приём / стор / КД</t>
        </is>
      </c>
      <c r="C24" s="13" t="inlineStr">
        <is>
          <t>128 / 2 482 / 60 т</t>
        </is>
      </c>
      <c r="D24" s="13" t="inlineStr">
        <is>
          <t>48 / 1 876 / 140 т (126 GTU/ход — те же)</t>
        </is>
      </c>
    </row>
    <row r="25">
      <c r="A25" s="13" t="inlineStr">
        <is>
          <t>Помпа II</t>
        </is>
      </c>
      <c r="B25" s="13" t="inlineStr">
        <is>
          <t>приём / стор GTU / стор воды / отдача</t>
        </is>
      </c>
      <c r="C25" s="13" t="inlineStr">
        <is>
          <t>96 / 1 200 / 24 000 / 612</t>
        </is>
      </c>
      <c r="D25" s="13" t="inlineStr">
        <is>
          <t>48 / 644 / 21 000 / 396</t>
        </is>
      </c>
    </row>
    <row r="26">
      <c r="A26" s="13" t="inlineStr">
        <is>
          <t>Булыжник II</t>
        </is>
      </c>
      <c r="B26" s="13" t="inlineStr">
        <is>
          <t>приём / вода приём / стор воды / операция</t>
        </is>
      </c>
      <c r="C26" s="13" t="inlineStr">
        <is>
          <t>64 / 1 000 / 12 000 / 60 т × 1.4 = 84 GTU</t>
        </is>
      </c>
      <c r="D26" s="13" t="inlineStr">
        <is>
          <t>48 / 368 / 9 000 / 80 т × 1.05 = 84 GTU (те же)</t>
        </is>
      </c>
    </row>
    <row r="27">
      <c r="A27" s="13" t="inlineStr">
        <is>
          <t>Аккумулятор II</t>
        </is>
      </c>
      <c r="B27" s="13" t="inlineStr">
        <is>
          <t>стор / отдача</t>
        </is>
      </c>
      <c r="C27" s="13" t="inlineStr">
        <is>
          <t>48 900 / 144</t>
        </is>
      </c>
      <c r="D27" s="13" t="inlineStr">
        <is>
          <t>32 608 / 122 (приём 144 — тот же)</t>
        </is>
      </c>
    </row>
    <row r="28">
      <c r="A28" s="13" t="inlineStr">
        <is>
          <t>Завод сплавов</t>
        </is>
      </c>
      <c r="B28" s="13" t="inlineStr">
        <is>
          <t>приём / стор GTU</t>
        </is>
      </c>
      <c r="C28" s="13" t="inlineStr">
        <is>
          <t>220 / 1 640</t>
        </is>
      </c>
      <c r="D28" s="13" t="inlineStr">
        <is>
          <t>52 / 2 202</t>
        </is>
      </c>
    </row>
    <row r="29">
      <c r="A29" s="13" t="inlineStr">
        <is>
          <t>Провод T2</t>
        </is>
      </c>
      <c r="B29" s="13" t="inlineStr">
        <is>
          <t>проводимость GTU/t</t>
        </is>
      </c>
      <c r="C29" s="13" t="inlineStr">
        <is>
          <t>96</t>
        </is>
      </c>
      <c r="D29" s="13" t="inlineStr">
        <is>
          <t>89</t>
        </is>
      </c>
    </row>
    <row r="30">
      <c r="A30" s="13" t="inlineStr">
        <is>
          <t>Теплотруба T2</t>
        </is>
      </c>
      <c r="B30" s="13" t="inlineStr">
        <is>
          <t>проводимость GTH/t</t>
        </is>
      </c>
      <c r="C30" s="13" t="inlineStr">
        <is>
          <t>696</t>
        </is>
      </c>
      <c r="D30" s="13" t="inlineStr">
        <is>
          <t>562</t>
        </is>
      </c>
    </row>
    <row r="31">
      <c r="A31" s="13" t="inlineStr">
        <is>
          <t>Жидкостные трубы T2</t>
        </is>
      </c>
      <c r="B31" s="13" t="inlineStr">
        <is>
          <t>проводимость mB/t</t>
        </is>
      </c>
      <c r="C31" s="13" t="inlineStr">
        <is>
          <t>1 900</t>
        </is>
      </c>
      <c r="D31" s="13" t="inlineStr">
        <is>
          <t>852</t>
        </is>
      </c>
    </row>
    <row r="32">
      <c r="A32" s="13" t="inlineStr">
        <is>
          <t>Универсальная жидкостная T2</t>
        </is>
      </c>
      <c r="B32" s="13" t="inlineStr">
        <is>
          <t>сумма mB/t</t>
        </is>
      </c>
      <c r="C32" s="13" t="inlineStr">
        <is>
          <t>1 500</t>
        </is>
      </c>
      <c r="D32" s="13" t="inlineStr">
        <is>
          <t>682</t>
        </is>
      </c>
    </row>
    <row r="33">
      <c r="A33" s="13" t="inlineStr">
        <is>
          <t>Универсальный узел T2</t>
        </is>
      </c>
      <c r="B33" s="13" t="inlineStr">
        <is>
          <t>фактор</t>
        </is>
      </c>
      <c r="C33" s="13" t="inlineStr">
        <is>
          <t>×0.9</t>
        </is>
      </c>
      <c r="D33" s="13" t="inlineStr">
        <is>
          <t>×0.91</t>
        </is>
      </c>
    </row>
    <row r="34">
      <c r="A34" s="13" t="inlineStr">
        <is>
          <t>Ядерная топка</t>
        </is>
      </c>
      <c r="B34" s="13" t="inlineStr">
        <is>
          <t>горение / отдача GTH/t</t>
        </is>
      </c>
      <c r="C34" s="13" t="inlineStr">
        <is>
          <t>262 / 488</t>
        </is>
      </c>
      <c r="D34" s="13" t="inlineStr">
        <is>
          <t>116 / 282 (стор 68 408 — та же)</t>
        </is>
      </c>
    </row>
    <row r="35">
      <c r="A35" s="13" t="inlineStr">
        <is>
          <t>Литограф</t>
        </is>
      </c>
      <c r="B35" s="13" t="inlineStr">
        <is>
          <t>приём / стор GTU</t>
        </is>
      </c>
      <c r="C35" s="13" t="inlineStr">
        <is>
          <t>161 / 29 086</t>
        </is>
      </c>
      <c r="D35" s="13" t="inlineStr">
        <is>
          <t>96 / 6 204</t>
        </is>
      </c>
    </row>
    <row r="36">
      <c r="A36" s="13" t="inlineStr">
        <is>
          <t>Фильтр воздуха</t>
        </is>
      </c>
      <c r="B36" s="13" t="inlineStr">
        <is>
          <t>приём / стор GTU</t>
        </is>
      </c>
      <c r="C36" s="13" t="inlineStr">
        <is>
          <t>32 / 2 040</t>
        </is>
      </c>
      <c r="D36" s="13" t="inlineStr">
        <is>
          <t>52 / 2 202</t>
        </is>
      </c>
    </row>
    <row r="37">
      <c r="A37" s="13" t="inlineStr">
        <is>
          <t>Ворт-котёл</t>
        </is>
      </c>
      <c r="B37" s="13" t="inlineStr">
        <is>
          <t>приём GTH/t / стор GTH / отдача</t>
        </is>
      </c>
      <c r="C37" s="13" t="inlineStr">
        <is>
          <t>156 / 24 301 / 492</t>
        </is>
      </c>
      <c r="D37" s="13" t="inlineStr">
        <is>
          <t>128 / 18 302 / 392</t>
        </is>
      </c>
    </row>
    <row r="38">
      <c r="A38" s="13" t="inlineStr">
        <is>
          <t>Чан брожения</t>
        </is>
      </c>
      <c r="B38" s="13" t="inlineStr">
        <is>
          <t>приём GTH/t / отдача</t>
        </is>
      </c>
      <c r="C38" s="13" t="inlineStr">
        <is>
          <t>156 / 288</t>
        </is>
      </c>
      <c r="D38" s="13" t="inlineStr">
        <is>
          <t>128 / 392</t>
        </is>
      </c>
    </row>
    <row r="39">
      <c r="A39" s="13" t="inlineStr">
        <is>
          <t>Дистиллятор</t>
        </is>
      </c>
      <c r="B39" s="13" t="inlineStr">
        <is>
          <t>приём GTH/t / отдача / шкалы</t>
        </is>
      </c>
      <c r="C39" s="13" t="inlineStr">
        <is>
          <t>156 / 492 / 8 040·2 006·6 096</t>
        </is>
      </c>
      <c r="D39" s="13" t="inlineStr">
        <is>
          <t>128 / 392 / 8 064·2 048·8 064 (кратны 128)</t>
        </is>
      </c>
    </row>
    <row r="40">
      <c r="A40" s="13" t="inlineStr">
        <is>
          <t>Ректификатор</t>
        </is>
      </c>
      <c r="B40" s="13" t="inlineStr">
        <is>
          <t>приём GTH/t / стор GTU / отдача / шкалы</t>
        </is>
      </c>
      <c r="C40" s="13" t="inlineStr">
        <is>
          <t>156 / 8 490 / 492 / 10 012·7 200</t>
        </is>
      </c>
      <c r="D40" s="13" t="inlineStr">
        <is>
          <t>128 / 10 368 / 392 / 9 984·7 168 (кратны 128)</t>
        </is>
      </c>
    </row>
    <row r="41">
      <c r="A41" s="13" t="inlineStr">
        <is>
          <t>Змеевиковый конденсатор</t>
        </is>
      </c>
      <c r="B41" s="13" t="inlineStr">
        <is>
          <t>отдача/приём / шкалы</t>
        </is>
      </c>
      <c r="C41" s="13" t="inlineStr">
        <is>
          <t>492 / 8 000·8 000</t>
        </is>
      </c>
      <c r="D41" s="13" t="inlineStr">
        <is>
          <t>392 / 8 064·8 064 (кратность 128)</t>
        </is>
      </c>
    </row>
    <row r="42">
      <c r="A42" s="13" t="inlineStr">
        <is>
          <t>Наполнитель</t>
        </is>
      </c>
      <c r="B42" s="13" t="inlineStr">
        <is>
          <t>приём / стор GTU</t>
        </is>
      </c>
      <c r="C42" s="13" t="inlineStr">
        <is>
          <t>66 / 2 000</t>
        </is>
      </c>
      <c r="D42" s="13" t="inlineStr">
        <is>
          <t>96 / 8 808</t>
        </is>
      </c>
    </row>
    <row r="43">
      <c r="A43" s="13" t="inlineStr">
        <is>
          <t>Наполнитель</t>
        </is>
      </c>
      <c r="B43" s="13" t="inlineStr">
        <is>
          <t>операции / канистра</t>
        </is>
      </c>
      <c r="C43" s="13" t="inlineStr">
        <is>
          <t>50·110·180·20·100·60 т; выпарка 80 т; мгновенно</t>
        </is>
      </c>
      <c r="D43" s="13" t="inlineStr">
        <is>
          <t>75·165·270·30·150·90 т; 120 т (×1.5); по 128 mB/т</t>
        </is>
      </c>
    </row>
    <row r="44">
      <c r="A44" s="13" t="inlineStr">
        <is>
          <t>Химический завод</t>
        </is>
      </c>
      <c r="B44" s="13" t="inlineStr">
        <is>
          <t>приём / стор / реакция</t>
        </is>
      </c>
      <c r="C44" s="13" t="inlineStr">
        <is>
          <t>66 / 2 600 / 160 т × 1.9 = 304 GTU</t>
        </is>
      </c>
      <c r="D44" s="13" t="inlineStr">
        <is>
          <t>96 / 10 840 / 240 т × 1.9 = 456 GTU (×1.5 и время, и расход)</t>
        </is>
      </c>
    </row>
    <row r="45">
      <c r="A45" s="13" t="inlineStr">
        <is>
          <t>Узлы (все типы)</t>
        </is>
      </c>
      <c r="B45" s="13" t="inlineStr">
        <is>
          <t>проводимость</t>
        </is>
      </c>
      <c r="C45" s="13" t="inlineStr">
        <is>
          <t>—</t>
        </is>
      </c>
      <c r="D45" s="13">
        <f> трубам соответствующего тира/типа</f>
        <v/>
      </c>
    </row>
    <row r="46">
      <c r="A46" s="13" t="inlineStr">
        <is>
          <t>Турбина, солнечная, T1-провод 38, предметы, ядерные времена топлива, T1-булыжник</t>
        </is>
      </c>
      <c r="B46" s="13" t="inlineStr">
        <is>
          <t>—</t>
        </is>
      </c>
      <c r="C46" s="13" t="inlineStr">
        <is>
          <t>—</t>
        </is>
      </c>
      <c r="D46" s="13" t="inlineStr">
        <is>
          <t>НЕ ТРОНУТЫ (не указаны)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2026-09-30T19:50:26Z</dcterms:created>
  <dcterms:modified xsi:type="dcterms:W3CDTF">2026-09-30T19:50:26Z</dcterms:modified>
</cp:coreProperties>
</file>